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sujin\대학\3학년 2학기\캡스톤\solefit\"/>
    </mc:Choice>
  </mc:AlternateContent>
  <xr:revisionPtr revIDLastSave="0" documentId="8_{47130FEF-CFFF-4321-8514-C89FF6FAC98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검증데이터 통합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0" i="1" l="1"/>
  <c r="G150" i="1" s="1"/>
  <c r="C150" i="1"/>
  <c r="D150" i="1" s="1"/>
  <c r="F149" i="1"/>
  <c r="G149" i="1" s="1"/>
  <c r="C149" i="1"/>
  <c r="D149" i="1" s="1"/>
  <c r="F148" i="1"/>
  <c r="G148" i="1" s="1"/>
  <c r="C148" i="1"/>
  <c r="D148" i="1" s="1"/>
  <c r="F147" i="1"/>
  <c r="G147" i="1" s="1"/>
  <c r="C147" i="1"/>
  <c r="D147" i="1" s="1"/>
  <c r="F146" i="1"/>
  <c r="G146" i="1" s="1"/>
  <c r="C146" i="1"/>
  <c r="D146" i="1" s="1"/>
  <c r="I141" i="1"/>
  <c r="H141" i="1"/>
  <c r="G141" i="1"/>
  <c r="F141" i="1"/>
  <c r="I140" i="1"/>
  <c r="H140" i="1"/>
  <c r="G140" i="1"/>
  <c r="F140" i="1"/>
  <c r="E140" i="1"/>
  <c r="E141" i="1" s="1"/>
  <c r="D140" i="1"/>
  <c r="D141" i="1" s="1"/>
  <c r="C140" i="1"/>
  <c r="C141" i="1" s="1"/>
  <c r="B140" i="1"/>
  <c r="B141" i="1" s="1"/>
  <c r="B121" i="1"/>
  <c r="F125" i="1" s="1"/>
  <c r="F120" i="1"/>
  <c r="F121" i="1" s="1"/>
  <c r="F129" i="1" s="1"/>
  <c r="E120" i="1"/>
  <c r="E121" i="1" s="1"/>
  <c r="F128" i="1" s="1"/>
  <c r="D120" i="1"/>
  <c r="D121" i="1" s="1"/>
  <c r="F127" i="1" s="1"/>
  <c r="C120" i="1"/>
  <c r="C121" i="1" s="1"/>
  <c r="F126" i="1" s="1"/>
  <c r="B120" i="1"/>
  <c r="F115" i="1"/>
  <c r="F116" i="1" s="1"/>
  <c r="C129" i="1" s="1"/>
  <c r="E115" i="1"/>
  <c r="E116" i="1" s="1"/>
  <c r="C128" i="1" s="1"/>
  <c r="D115" i="1"/>
  <c r="D116" i="1" s="1"/>
  <c r="C127" i="1" s="1"/>
  <c r="C115" i="1"/>
  <c r="C116" i="1" s="1"/>
  <c r="C126" i="1" s="1"/>
  <c r="B115" i="1"/>
  <c r="B116" i="1" s="1"/>
  <c r="C125" i="1" s="1"/>
  <c r="G106" i="1"/>
  <c r="G107" i="1" s="1"/>
  <c r="F106" i="1"/>
  <c r="F107" i="1" s="1"/>
  <c r="E129" i="1" s="1"/>
  <c r="E106" i="1"/>
  <c r="E107" i="1" s="1"/>
  <c r="E128" i="1" s="1"/>
  <c r="D106" i="1"/>
  <c r="D107" i="1" s="1"/>
  <c r="E127" i="1" s="1"/>
  <c r="C106" i="1"/>
  <c r="C107" i="1" s="1"/>
  <c r="E126" i="1" s="1"/>
  <c r="B106" i="1"/>
  <c r="B107" i="1" s="1"/>
  <c r="E125" i="1" s="1"/>
  <c r="G101" i="1"/>
  <c r="G102" i="1" s="1"/>
  <c r="F101" i="1"/>
  <c r="F102" i="1" s="1"/>
  <c r="B129" i="1" s="1"/>
  <c r="E101" i="1"/>
  <c r="E102" i="1" s="1"/>
  <c r="B128" i="1" s="1"/>
  <c r="D101" i="1"/>
  <c r="D102" i="1" s="1"/>
  <c r="B127" i="1" s="1"/>
  <c r="C101" i="1"/>
  <c r="C102" i="1" s="1"/>
  <c r="B126" i="1" s="1"/>
  <c r="B101" i="1"/>
  <c r="B102" i="1" s="1"/>
  <c r="B125" i="1" s="1"/>
  <c r="F90" i="1"/>
  <c r="F91" i="1" s="1"/>
  <c r="E90" i="1"/>
  <c r="E91" i="1" s="1"/>
  <c r="D90" i="1"/>
  <c r="D91" i="1" s="1"/>
  <c r="C90" i="1"/>
  <c r="C91" i="1" s="1"/>
  <c r="B90" i="1"/>
  <c r="B91" i="1" s="1"/>
  <c r="F85" i="1"/>
  <c r="F86" i="1" s="1"/>
  <c r="E85" i="1"/>
  <c r="E86" i="1" s="1"/>
  <c r="D85" i="1"/>
  <c r="D86" i="1" s="1"/>
  <c r="C85" i="1"/>
  <c r="C86" i="1" s="1"/>
  <c r="B85" i="1"/>
  <c r="B86" i="1" s="1"/>
  <c r="B77" i="1"/>
  <c r="B78" i="1" s="1"/>
  <c r="B72" i="1"/>
  <c r="B73" i="1" s="1"/>
  <c r="G62" i="1"/>
  <c r="G63" i="1" s="1"/>
  <c r="F62" i="1"/>
  <c r="F63" i="1" s="1"/>
  <c r="E62" i="1"/>
  <c r="E63" i="1" s="1"/>
  <c r="D62" i="1"/>
  <c r="D63" i="1" s="1"/>
  <c r="C62" i="1"/>
  <c r="C63" i="1" s="1"/>
  <c r="B62" i="1"/>
  <c r="B63" i="1" s="1"/>
  <c r="G57" i="1"/>
  <c r="G58" i="1" s="1"/>
  <c r="F57" i="1"/>
  <c r="F58" i="1" s="1"/>
  <c r="E57" i="1"/>
  <c r="E58" i="1" s="1"/>
  <c r="D57" i="1"/>
  <c r="D58" i="1" s="1"/>
  <c r="C57" i="1"/>
  <c r="C58" i="1" s="1"/>
  <c r="B57" i="1"/>
  <c r="B58" i="1" s="1"/>
  <c r="C49" i="1"/>
  <c r="C50" i="1" s="1"/>
  <c r="B49" i="1"/>
  <c r="B50" i="1" s="1"/>
  <c r="C44" i="1"/>
  <c r="C45" i="1" s="1"/>
  <c r="B44" i="1"/>
  <c r="B45" i="1" s="1"/>
  <c r="C34" i="1"/>
  <c r="C33" i="1"/>
  <c r="C32" i="1"/>
  <c r="C31" i="1"/>
  <c r="C30" i="1"/>
  <c r="D24" i="1"/>
  <c r="D25" i="1" s="1"/>
  <c r="C24" i="1"/>
  <c r="C25" i="1" s="1"/>
  <c r="B24" i="1"/>
  <c r="B25" i="1" s="1"/>
  <c r="D32" i="1" s="1"/>
  <c r="D13" i="1"/>
  <c r="D14" i="1" s="1"/>
  <c r="C13" i="1"/>
  <c r="C14" i="1" s="1"/>
  <c r="B13" i="1"/>
  <c r="B14" i="1" s="1"/>
  <c r="G125" i="1" l="1"/>
  <c r="D34" i="1"/>
  <c r="D129" i="1"/>
  <c r="D31" i="1"/>
  <c r="C26" i="1"/>
  <c r="D26" i="1"/>
  <c r="D30" i="1"/>
  <c r="G129" i="1"/>
  <c r="G126" i="1"/>
  <c r="G127" i="1"/>
  <c r="G128" i="1"/>
  <c r="C15" i="1"/>
  <c r="D126" i="1"/>
  <c r="D127" i="1"/>
  <c r="D15" i="1"/>
  <c r="D125" i="1"/>
  <c r="D128" i="1"/>
  <c r="D33" i="1"/>
</calcChain>
</file>

<file path=xl/sharedStrings.xml><?xml version="1.0" encoding="utf-8"?>
<sst xmlns="http://schemas.openxmlformats.org/spreadsheetml/2006/main" count="156" uniqueCount="73">
  <si>
    <r>
      <rPr>
        <b/>
        <sz val="14"/>
        <color rgb="FFFFFFFF"/>
        <rFont val="Noto Sans CJK SC"/>
        <family val="2"/>
      </rPr>
      <t xml:space="preserve">■ 초기 마찰계수 측정 </t>
    </r>
    <r>
      <rPr>
        <b/>
        <sz val="14"/>
        <color rgb="FFFFFFFF"/>
        <rFont val="Arial"/>
        <family val="2"/>
      </rPr>
      <t xml:space="preserve">: </t>
    </r>
    <r>
      <rPr>
        <b/>
        <sz val="14"/>
        <color rgb="FFFFFFFF"/>
        <rFont val="Noto Sans CJK SC"/>
        <family val="2"/>
      </rPr>
      <t>판을 들어올리며 몇 도에서 미끄러지는지 측정</t>
    </r>
  </si>
  <si>
    <r>
      <rPr>
        <b/>
        <sz val="12"/>
        <rFont val="Arial"/>
        <family val="2"/>
      </rPr>
      <t xml:space="preserve">1) </t>
    </r>
    <r>
      <rPr>
        <b/>
        <sz val="12"/>
        <rFont val="Noto Sans CJK SC"/>
        <family val="2"/>
      </rPr>
      <t>건조 환경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</si>
  <si>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x</t>
    </r>
  </si>
  <si>
    <r>
      <rPr>
        <b/>
        <sz val="11"/>
        <color rgb="FF000000"/>
        <rFont val="Noto Sans CJK SC"/>
        <family val="2"/>
      </rPr>
      <t xml:space="preserve">브러쉬 </t>
    </r>
    <r>
      <rPr>
        <b/>
        <sz val="11"/>
        <color rgb="FF000000"/>
        <rFont val="Arial"/>
        <family val="2"/>
      </rPr>
      <t>1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</si>
  <si>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브러쉬 </t>
    </r>
    <r>
      <rPr>
        <b/>
        <sz val="11"/>
        <color rgb="FF000000"/>
        <rFont val="Arial"/>
        <family val="2"/>
      </rPr>
      <t>2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</si>
  <si>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1</t>
    </r>
    <r>
      <rPr>
        <b/>
        <sz val="11"/>
        <color rgb="FF000000"/>
        <rFont val="Noto Sans CJK SC"/>
        <family val="2"/>
      </rPr>
      <t>차</t>
    </r>
  </si>
  <si>
    <r>
      <rPr>
        <b/>
        <sz val="11"/>
        <color rgb="FF000000"/>
        <rFont val="Arial"/>
        <family val="2"/>
      </rPr>
      <t>2</t>
    </r>
    <r>
      <rPr>
        <b/>
        <sz val="11"/>
        <color rgb="FF000000"/>
        <rFont val="Noto Sans CJK SC"/>
        <family val="2"/>
      </rPr>
      <t>차</t>
    </r>
  </si>
  <si>
    <r>
      <rPr>
        <b/>
        <sz val="11"/>
        <color rgb="FF000000"/>
        <rFont val="Arial"/>
        <family val="2"/>
      </rPr>
      <t>3</t>
    </r>
    <r>
      <rPr>
        <b/>
        <sz val="11"/>
        <color rgb="FF000000"/>
        <rFont val="Noto Sans CJK SC"/>
        <family val="2"/>
      </rPr>
      <t>차</t>
    </r>
  </si>
  <si>
    <r>
      <rPr>
        <b/>
        <sz val="11"/>
        <color rgb="FF000000"/>
        <rFont val="Arial"/>
        <family val="2"/>
      </rPr>
      <t>4</t>
    </r>
    <r>
      <rPr>
        <b/>
        <sz val="11"/>
        <color rgb="FF000000"/>
        <rFont val="Noto Sans CJK SC"/>
        <family val="2"/>
      </rPr>
      <t>차</t>
    </r>
  </si>
  <si>
    <r>
      <rPr>
        <b/>
        <sz val="11"/>
        <color rgb="FF000000"/>
        <rFont val="Arial"/>
        <family val="2"/>
      </rPr>
      <t>5</t>
    </r>
    <r>
      <rPr>
        <b/>
        <sz val="11"/>
        <color rgb="FF000000"/>
        <rFont val="Noto Sans CJK SC"/>
        <family val="2"/>
      </rPr>
      <t>차</t>
    </r>
  </si>
  <si>
    <t>평균 건조 마찰각</t>
  </si>
  <si>
    <t>정마찰계수</t>
  </si>
  <si>
    <t>논슬립 개선율</t>
  </si>
  <si>
    <r>
      <rPr>
        <b/>
        <sz val="12"/>
        <rFont val="Arial"/>
        <family val="2"/>
      </rPr>
      <t xml:space="preserve">2) </t>
    </r>
    <r>
      <rPr>
        <b/>
        <sz val="12"/>
        <rFont val="Noto Sans CJK SC"/>
        <family val="2"/>
      </rPr>
      <t xml:space="preserve">습윤 환경 </t>
    </r>
    <r>
      <rPr>
        <b/>
        <sz val="12"/>
        <rFont val="Arial"/>
        <family val="2"/>
      </rPr>
      <t>(</t>
    </r>
    <r>
      <rPr>
        <b/>
        <sz val="12"/>
        <rFont val="Noto Sans CJK SC"/>
        <family val="2"/>
      </rPr>
      <t xml:space="preserve">분무기로 </t>
    </r>
    <r>
      <rPr>
        <b/>
        <sz val="12"/>
        <rFont val="Arial"/>
        <family val="2"/>
      </rPr>
      <t>3</t>
    </r>
    <r>
      <rPr>
        <b/>
        <sz val="12"/>
        <rFont val="Noto Sans CJK SC"/>
        <family val="2"/>
      </rPr>
      <t>회 분사</t>
    </r>
    <r>
      <rPr>
        <b/>
        <sz val="12"/>
        <rFont val="Arial"/>
        <family val="2"/>
      </rPr>
      <t>)</t>
    </r>
  </si>
  <si>
    <t>평균 습윤 마찰각</t>
  </si>
  <si>
    <r>
      <rPr>
        <b/>
        <sz val="12"/>
        <rFont val="Arial"/>
        <family val="2"/>
      </rPr>
      <t xml:space="preserve">3) </t>
    </r>
    <r>
      <rPr>
        <b/>
        <sz val="12"/>
        <rFont val="Noto Sans CJK SC"/>
        <family val="2"/>
      </rPr>
      <t xml:space="preserve">브러쉬 </t>
    </r>
    <r>
      <rPr>
        <b/>
        <sz val="12"/>
        <rFont val="Arial"/>
        <family val="2"/>
      </rPr>
      <t>2</t>
    </r>
    <r>
      <rPr>
        <b/>
        <sz val="12"/>
        <rFont val="Noto Sans CJK SC"/>
        <family val="2"/>
      </rPr>
      <t xml:space="preserve">회 코팅한 운동화를 사포로 갈아가면서 습윤 마찰계수 측정 </t>
    </r>
    <r>
      <rPr>
        <b/>
        <sz val="12"/>
        <rFont val="Arial"/>
        <family val="2"/>
      </rPr>
      <t>(</t>
    </r>
    <r>
      <rPr>
        <b/>
        <sz val="12"/>
        <rFont val="Noto Sans CJK SC"/>
        <family val="2"/>
      </rPr>
      <t>내마모성 검증</t>
    </r>
    <r>
      <rPr>
        <b/>
        <sz val="12"/>
        <rFont val="Arial"/>
        <family val="2"/>
      </rPr>
      <t>)</t>
    </r>
  </si>
  <si>
    <t>습윤 마찰각</t>
  </si>
  <si>
    <r>
      <rPr>
        <b/>
        <sz val="11"/>
        <color rgb="FF000000"/>
        <rFont val="Noto Sans CJK SC"/>
        <family val="2"/>
      </rPr>
      <t xml:space="preserve">사포 </t>
    </r>
    <r>
      <rPr>
        <b/>
        <sz val="11"/>
        <color rgb="FF000000"/>
        <rFont val="Arial"/>
        <family val="2"/>
      </rPr>
      <t>20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</si>
  <si>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사포 </t>
    </r>
    <r>
      <rPr>
        <b/>
        <sz val="11"/>
        <color rgb="FF000000"/>
        <rFont val="Arial"/>
        <family val="2"/>
      </rPr>
      <t>40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</si>
  <si>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사포 </t>
    </r>
    <r>
      <rPr>
        <b/>
        <sz val="11"/>
        <color rgb="FF000000"/>
        <rFont val="Arial"/>
        <family val="2"/>
      </rPr>
      <t>60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</si>
  <si>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사포 </t>
    </r>
    <r>
      <rPr>
        <b/>
        <sz val="11"/>
        <color rgb="FF000000"/>
        <rFont val="Arial"/>
        <family val="2"/>
      </rPr>
      <t>80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</si>
  <si>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사포 </t>
    </r>
    <r>
      <rPr>
        <b/>
        <sz val="11"/>
        <color rgb="FF000000"/>
        <rFont val="Arial"/>
        <family val="2"/>
      </rPr>
      <t>100</t>
    </r>
    <r>
      <rPr>
        <b/>
        <sz val="11"/>
        <color rgb="FF000000"/>
        <rFont val="Noto Sans CJK SC"/>
        <family val="2"/>
      </rPr>
      <t>회</t>
    </r>
  </si>
  <si>
    <r>
      <rPr>
        <b/>
        <sz val="14"/>
        <color rgb="FFFFFFFF"/>
        <rFont val="Noto Sans CJK SC"/>
        <family val="2"/>
      </rPr>
      <t xml:space="preserve">■ 검증데이터 </t>
    </r>
    <r>
      <rPr>
        <b/>
        <sz val="14"/>
        <color rgb="FFFFFFFF"/>
        <rFont val="Arial"/>
        <family val="2"/>
      </rPr>
      <t>8/25</t>
    </r>
  </si>
  <si>
    <t>미코팅 신발</t>
  </si>
  <si>
    <t>사포질여부</t>
  </si>
  <si>
    <r>
      <rPr>
        <b/>
        <sz val="11"/>
        <color rgb="FF000000"/>
        <rFont val="Noto Sans CJK SC"/>
        <family val="2"/>
      </rPr>
      <t>사포질</t>
    </r>
    <r>
      <rPr>
        <b/>
        <sz val="11"/>
        <color rgb="FF000000"/>
        <rFont val="Arial"/>
        <family val="2"/>
      </rPr>
      <t>X</t>
    </r>
  </si>
  <si>
    <r>
      <rPr>
        <b/>
        <sz val="11"/>
        <color rgb="FF000000"/>
        <rFont val="Noto Sans CJK SC"/>
        <family val="2"/>
      </rPr>
      <t>사포질</t>
    </r>
    <r>
      <rPr>
        <b/>
        <sz val="11"/>
        <color rgb="FF000000"/>
        <rFont val="Arial"/>
        <family val="2"/>
      </rPr>
      <t>O</t>
    </r>
  </si>
  <si>
    <r>
      <rPr>
        <b/>
        <sz val="11"/>
        <color rgb="FF000000"/>
        <rFont val="Noto Sans CJK SC"/>
        <family val="2"/>
      </rPr>
      <t>수막형성</t>
    </r>
    <r>
      <rPr>
        <b/>
        <sz val="11"/>
        <color rgb="FF000000"/>
        <rFont val="Arial"/>
        <family val="2"/>
      </rPr>
      <t>X</t>
    </r>
  </si>
  <si>
    <r>
      <rPr>
        <b/>
        <sz val="11"/>
        <color rgb="FF000000"/>
        <rFont val="Noto Sans CJK SC"/>
        <family val="2"/>
      </rPr>
      <t>평균값</t>
    </r>
    <r>
      <rPr>
        <b/>
        <sz val="11"/>
        <color rgb="FF000000"/>
        <rFont val="Arial"/>
        <family val="2"/>
      </rPr>
      <t>(°)</t>
    </r>
  </si>
  <si>
    <r>
      <rPr>
        <b/>
        <sz val="11"/>
        <color rgb="FF000000"/>
        <rFont val="Noto Sans CJK SC"/>
        <family val="2"/>
      </rPr>
      <t xml:space="preserve">정마찰계수 </t>
    </r>
    <r>
      <rPr>
        <b/>
        <sz val="11"/>
        <color rgb="FF000000"/>
        <rFont val="Arial"/>
        <family val="2"/>
      </rPr>
      <t>μs</t>
    </r>
  </si>
  <si>
    <r>
      <rPr>
        <b/>
        <sz val="11"/>
        <color rgb="FF000000"/>
        <rFont val="Noto Sans CJK SC"/>
        <family val="2"/>
      </rPr>
      <t>수막형성</t>
    </r>
    <r>
      <rPr>
        <b/>
        <sz val="11"/>
        <color rgb="FF000000"/>
        <rFont val="Arial"/>
        <family val="2"/>
      </rPr>
      <t>O</t>
    </r>
  </si>
  <si>
    <t>코팅 신발</t>
  </si>
  <si>
    <t>사포질횟수</t>
  </si>
  <si>
    <r>
      <rPr>
        <b/>
        <sz val="11"/>
        <color rgb="FF000000"/>
        <rFont val="Arial"/>
        <family val="2"/>
      </rPr>
      <t>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</si>
  <si>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20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</si>
  <si>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40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</si>
  <si>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60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</si>
  <si>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80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</si>
  <si>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100</t>
    </r>
    <r>
      <rPr>
        <b/>
        <sz val="11"/>
        <color rgb="FF000000"/>
        <rFont val="Noto Sans CJK SC"/>
        <family val="2"/>
      </rPr>
      <t>회</t>
    </r>
  </si>
  <si>
    <r>
      <rPr>
        <b/>
        <sz val="14"/>
        <color rgb="FFFFFFFF"/>
        <rFont val="Noto Sans CJK SC"/>
        <family val="2"/>
      </rPr>
      <t xml:space="preserve">■ 검증데이터 </t>
    </r>
    <r>
      <rPr>
        <b/>
        <sz val="14"/>
        <color rgb="FFFFFFFF"/>
        <rFont val="Arial"/>
        <family val="2"/>
      </rPr>
      <t>8/26</t>
    </r>
  </si>
  <si>
    <r>
      <rPr>
        <b/>
        <sz val="11"/>
        <color rgb="FF000000"/>
        <rFont val="Arial"/>
        <family val="2"/>
      </rPr>
      <t>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</si>
  <si>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150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</si>
  <si>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200</t>
    </r>
    <r>
      <rPr>
        <b/>
        <sz val="11"/>
        <color rgb="FF000000"/>
        <rFont val="Noto Sans CJK SC"/>
        <family val="2"/>
      </rPr>
      <t>회</t>
    </r>
  </si>
  <si>
    <r>
      <rPr>
        <i/>
        <sz val="9"/>
        <color rgb="FF595959"/>
        <rFont val="Noto Sans CJK SC"/>
        <family val="2"/>
      </rPr>
      <t xml:space="preserve">※ 코팅 </t>
    </r>
    <r>
      <rPr>
        <i/>
        <sz val="9"/>
        <color rgb="FF595959"/>
        <rFont val="Arial"/>
        <family val="2"/>
      </rPr>
      <t>0</t>
    </r>
    <r>
      <rPr>
        <i/>
        <sz val="9"/>
        <color rgb="FF595959"/>
        <rFont val="Noto Sans CJK SC"/>
        <family val="2"/>
      </rPr>
      <t xml:space="preserve">회는 원본에 값 </t>
    </r>
    <r>
      <rPr>
        <i/>
        <sz val="9"/>
        <color rgb="FF595959"/>
        <rFont val="Arial"/>
        <family val="2"/>
      </rPr>
      <t>1</t>
    </r>
    <r>
      <rPr>
        <i/>
        <sz val="9"/>
        <color rgb="FF595959"/>
        <rFont val="Noto Sans CJK SC"/>
        <family val="2"/>
      </rPr>
      <t>개만 기록됨</t>
    </r>
  </si>
  <si>
    <r>
      <rPr>
        <b/>
        <sz val="11"/>
        <color rgb="FF000000"/>
        <rFont val="Arial"/>
        <family val="2"/>
      </rPr>
      <t>250</t>
    </r>
    <r>
      <rPr>
        <b/>
        <sz val="11"/>
        <color rgb="FF000000"/>
        <rFont val="Noto Sans CJK SC"/>
        <family val="2"/>
      </rPr>
      <t>회</t>
    </r>
  </si>
  <si>
    <r>
      <rPr>
        <b/>
        <sz val="12"/>
        <rFont val="Noto Sans CJK SC"/>
        <family val="2"/>
      </rPr>
      <t xml:space="preserve">논슬립 개선율 </t>
    </r>
    <r>
      <rPr>
        <b/>
        <sz val="12"/>
        <rFont val="Arial"/>
        <family val="2"/>
      </rPr>
      <t>(</t>
    </r>
    <r>
      <rPr>
        <b/>
        <sz val="12"/>
        <rFont val="Noto Sans CJK SC"/>
        <family val="2"/>
      </rPr>
      <t>같은 사포질 횟수의 미코팅 대비</t>
    </r>
    <r>
      <rPr>
        <b/>
        <sz val="12"/>
        <rFont val="Arial"/>
        <family val="2"/>
      </rPr>
      <t>)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</si>
  <si>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Dry μs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</si>
  <si>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Dry μs</t>
    </r>
  </si>
  <si>
    <r>
      <rPr>
        <b/>
        <sz val="11"/>
        <color rgb="FF000000"/>
        <rFont val="Arial"/>
        <family val="2"/>
      </rPr>
      <t xml:space="preserve">Dry </t>
    </r>
    <r>
      <rPr>
        <b/>
        <sz val="11"/>
        <color rgb="FF000000"/>
        <rFont val="Noto Sans CJK SC"/>
        <family val="2"/>
      </rPr>
      <t>개선율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</si>
  <si>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Wet μs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</si>
  <si>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Wet μs</t>
    </r>
  </si>
  <si>
    <r>
      <rPr>
        <b/>
        <sz val="11"/>
        <color rgb="FF000000"/>
        <rFont val="Arial"/>
        <family val="2"/>
      </rPr>
      <t xml:space="preserve">Wet </t>
    </r>
    <r>
      <rPr>
        <b/>
        <sz val="11"/>
        <color rgb="FF000000"/>
        <rFont val="Noto Sans CJK SC"/>
        <family val="2"/>
      </rPr>
      <t>개선율</t>
    </r>
  </si>
  <si>
    <t>구분</t>
  </si>
  <si>
    <r>
      <rPr>
        <b/>
        <sz val="11"/>
        <color rgb="FF000000"/>
        <rFont val="Arial"/>
        <family val="2"/>
      </rPr>
      <t>200</t>
    </r>
    <r>
      <rPr>
        <b/>
        <sz val="11"/>
        <color rgb="FF000000"/>
        <rFont val="Noto Sans CJK SC"/>
        <family val="2"/>
      </rPr>
      <t>회 사포질 후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</si>
  <si>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</si>
  <si>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</si>
  <si>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100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</si>
  <si>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150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</si>
  <si>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200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</si>
  <si>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100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</si>
  <si>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150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</si>
  <si>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6</t>
    </r>
    <r>
      <rPr>
        <b/>
        <sz val="11"/>
        <color rgb="FF000000"/>
        <rFont val="Noto Sans CJK SC"/>
        <family val="2"/>
      </rPr>
      <t>차</t>
    </r>
  </si>
  <si>
    <r>
      <rPr>
        <b/>
        <sz val="11"/>
        <color rgb="FF000000"/>
        <rFont val="Noto Sans CJK SC"/>
        <family val="2"/>
      </rPr>
      <t>평균 마찰각</t>
    </r>
    <r>
      <rPr>
        <b/>
        <sz val="11"/>
        <color rgb="FF000000"/>
        <rFont val="Arial"/>
        <family val="2"/>
      </rPr>
      <t>(°)</t>
    </r>
  </si>
  <si>
    <r>
      <rPr>
        <b/>
        <sz val="12"/>
        <rFont val="Noto Sans CJK SC"/>
        <family val="2"/>
      </rPr>
      <t xml:space="preserve">사포질 횟수별 시편 질량 </t>
    </r>
    <r>
      <rPr>
        <b/>
        <sz val="12"/>
        <rFont val="Arial"/>
        <family val="2"/>
      </rPr>
      <t>(10/26)</t>
    </r>
  </si>
  <si>
    <r>
      <rPr>
        <b/>
        <sz val="11"/>
        <color rgb="FF000000"/>
        <rFont val="Noto Sans CJK SC"/>
        <family val="2"/>
      </rPr>
      <t>미코팅 질량</t>
    </r>
    <r>
      <rPr>
        <b/>
        <sz val="11"/>
        <color rgb="FF000000"/>
        <rFont val="Arial"/>
        <family val="2"/>
      </rPr>
      <t>(g)</t>
    </r>
  </si>
  <si>
    <r>
      <rPr>
        <b/>
        <sz val="11"/>
        <color rgb="FF000000"/>
        <rFont val="Noto Sans CJK SC"/>
        <family val="2"/>
      </rPr>
      <t>미코팅 감소량</t>
    </r>
    <r>
      <rPr>
        <b/>
        <sz val="11"/>
        <color rgb="FF000000"/>
        <rFont val="Arial"/>
        <family val="2"/>
      </rPr>
      <t>(g)</t>
    </r>
  </si>
  <si>
    <t>미코팅 감소율</t>
  </si>
  <si>
    <r>
      <rPr>
        <b/>
        <sz val="11"/>
        <color rgb="FF000000"/>
        <rFont val="Noto Sans CJK SC"/>
        <family val="2"/>
      </rPr>
      <t>코팅 질량</t>
    </r>
    <r>
      <rPr>
        <b/>
        <sz val="11"/>
        <color rgb="FF000000"/>
        <rFont val="Arial"/>
        <family val="2"/>
      </rPr>
      <t>(g)</t>
    </r>
  </si>
  <si>
    <r>
      <rPr>
        <b/>
        <sz val="11"/>
        <color rgb="FF000000"/>
        <rFont val="Noto Sans CJK SC"/>
        <family val="2"/>
      </rPr>
      <t>코팅 감소량</t>
    </r>
    <r>
      <rPr>
        <b/>
        <sz val="11"/>
        <color rgb="FF000000"/>
        <rFont val="Arial"/>
        <family val="2"/>
      </rPr>
      <t>(g)</t>
    </r>
  </si>
  <si>
    <t>코팅 감소율</t>
  </si>
  <si>
    <t>마찰계수</t>
    <phoneticPr fontId="12" type="noConversion"/>
  </si>
  <si>
    <r>
      <rPr>
        <b/>
        <sz val="16"/>
        <rFont val="맑은 고딕"/>
        <family val="3"/>
        <charset val="129"/>
      </rPr>
      <t>마찰계수</t>
    </r>
    <r>
      <rPr>
        <b/>
        <sz val="16"/>
        <rFont val="Arial"/>
        <family val="2"/>
      </rPr>
      <t xml:space="preserve"> </t>
    </r>
    <r>
      <rPr>
        <b/>
        <sz val="16"/>
        <rFont val="맑은 고딕"/>
        <family val="3"/>
        <charset val="129"/>
      </rPr>
      <t>및</t>
    </r>
    <r>
      <rPr>
        <b/>
        <sz val="16"/>
        <rFont val="Arial"/>
        <family val="2"/>
      </rPr>
      <t xml:space="preserve"> </t>
    </r>
    <r>
      <rPr>
        <b/>
        <sz val="16"/>
        <rFont val="맑은 고딕"/>
        <family val="3"/>
        <charset val="129"/>
      </rPr>
      <t>내마모성</t>
    </r>
    <r>
      <rPr>
        <b/>
        <sz val="16"/>
        <rFont val="Arial"/>
        <family val="2"/>
      </rPr>
      <t xml:space="preserve"> </t>
    </r>
    <r>
      <rPr>
        <b/>
        <sz val="16"/>
        <rFont val="맑은 고딕"/>
        <family val="3"/>
        <charset val="129"/>
      </rPr>
      <t>검증데이터</t>
    </r>
    <r>
      <rPr>
        <b/>
        <sz val="16"/>
        <rFont val="Arial"/>
        <family val="2"/>
      </rPr>
      <t xml:space="preserve"> (</t>
    </r>
    <r>
      <rPr>
        <b/>
        <sz val="16"/>
        <rFont val="맑은 고딕"/>
        <family val="3"/>
        <charset val="129"/>
      </rPr>
      <t>통합</t>
    </r>
    <r>
      <rPr>
        <b/>
        <sz val="16"/>
        <rFont val="Arial"/>
        <family val="2"/>
      </rPr>
      <t>)</t>
    </r>
    <phoneticPr fontId="12" type="noConversion"/>
  </si>
  <si>
    <r>
      <rPr>
        <b/>
        <sz val="14"/>
        <color rgb="FFFFFFFF"/>
        <rFont val="Segoe UI Symbol"/>
        <family val="2"/>
      </rPr>
      <t>■</t>
    </r>
    <r>
      <rPr>
        <b/>
        <sz val="14"/>
        <color rgb="FFFFFFFF"/>
        <rFont val="Noto Sans CJK SC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검증데이터</t>
    </r>
    <r>
      <rPr>
        <b/>
        <sz val="14"/>
        <color rgb="FFFFFFFF"/>
        <rFont val="Arial"/>
        <family val="2"/>
      </rPr>
      <t xml:space="preserve"> 10/26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</si>
</sst>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0.000"/>
  </numFmts>
  <fonts count="17">
    <font>
      <sz val="11"/>
      <color theme="1"/>
      <name val="Calibri"/>
      <family val="2"/>
      <charset val="1"/>
    </font>
    <font>
      <b/>
      <sz val="16"/>
      <name val="Arial"/>
      <family val="2"/>
    </font>
    <font>
      <i/>
      <sz val="9"/>
      <color rgb="FF595959"/>
      <name val="Arial"/>
      <family val="2"/>
    </font>
    <font>
      <i/>
      <sz val="9"/>
      <color rgb="FF595959"/>
      <name val="Noto Sans CJK SC"/>
      <family val="2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b/>
      <sz val="12"/>
      <name val="Arial"/>
      <family val="2"/>
    </font>
    <font>
      <b/>
      <sz val="12"/>
      <name val="Noto Sans CJK SC"/>
      <family val="2"/>
    </font>
    <font>
      <b/>
      <sz val="11"/>
      <color rgb="FF000000"/>
      <name val="Arial"/>
      <family val="2"/>
    </font>
    <font>
      <b/>
      <sz val="11"/>
      <color rgb="FF000000"/>
      <name val="Noto Sans CJK SC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8"/>
      <name val="돋움"/>
      <family val="3"/>
      <charset val="129"/>
    </font>
    <font>
      <b/>
      <sz val="16"/>
      <name val="맑은 고딕"/>
      <family val="3"/>
      <charset val="129"/>
    </font>
    <font>
      <b/>
      <sz val="16"/>
      <name val="Noto Sans CJK SC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2" borderId="0" xfId="0" applyFont="1" applyFill="1"/>
    <xf numFmtId="0" fontId="0" fillId="2" borderId="0" xfId="0" applyFill="1"/>
    <xf numFmtId="0" fontId="6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7" fillId="0" borderId="0" xfId="0" applyFont="1"/>
    <xf numFmtId="178" fontId="10" fillId="0" borderId="1" xfId="0" applyNumberFormat="1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0" fontId="9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showGridLines="0" tabSelected="1" topLeftCell="A126" zoomScaleNormal="100" workbookViewId="0">
      <selection activeCell="L147" sqref="L147"/>
    </sheetView>
  </sheetViews>
  <sheetFormatPr defaultColWidth="8.7109375" defaultRowHeight="15"/>
  <cols>
    <col min="1" max="1" width="16" customWidth="1"/>
    <col min="2" max="9" width="14" customWidth="1"/>
  </cols>
  <sheetData>
    <row r="1" spans="1:9" ht="26.25">
      <c r="A1" s="22" t="s">
        <v>71</v>
      </c>
    </row>
    <row r="2" spans="1:9">
      <c r="A2" s="2"/>
    </row>
    <row r="4" spans="1:9" ht="18">
      <c r="A4" s="3" t="s">
        <v>0</v>
      </c>
      <c r="B4" s="4"/>
      <c r="C4" s="4"/>
      <c r="D4" s="4"/>
      <c r="E4" s="4"/>
      <c r="F4" s="4"/>
      <c r="G4" s="4"/>
      <c r="H4" s="4"/>
      <c r="I4" s="4"/>
    </row>
    <row r="6" spans="1:9" ht="15.75">
      <c r="A6" s="5" t="s">
        <v>1</v>
      </c>
    </row>
    <row r="7" spans="1:9">
      <c r="A7" s="6"/>
      <c r="B7" s="7" t="s">
        <v>2</v>
      </c>
      <c r="C7" s="7" t="s">
        <v>3</v>
      </c>
      <c r="D7" s="7" t="s">
        <v>4</v>
      </c>
    </row>
    <row r="8" spans="1:9">
      <c r="A8" s="8" t="s">
        <v>5</v>
      </c>
      <c r="B8" s="9">
        <v>63.5</v>
      </c>
      <c r="C8" s="9">
        <v>32.1</v>
      </c>
      <c r="D8" s="9">
        <v>41.3</v>
      </c>
    </row>
    <row r="9" spans="1:9">
      <c r="A9" s="8" t="s">
        <v>6</v>
      </c>
      <c r="B9" s="9">
        <v>46.4</v>
      </c>
      <c r="C9" s="9">
        <v>30.3</v>
      </c>
      <c r="D9" s="9">
        <v>30.8</v>
      </c>
    </row>
    <row r="10" spans="1:9">
      <c r="A10" s="8" t="s">
        <v>7</v>
      </c>
      <c r="B10" s="9">
        <v>65.7</v>
      </c>
      <c r="C10" s="9">
        <v>31.7</v>
      </c>
      <c r="D10" s="9">
        <v>26.5</v>
      </c>
    </row>
    <row r="11" spans="1:9">
      <c r="A11" s="8" t="s">
        <v>8</v>
      </c>
      <c r="B11" s="9">
        <v>66.3</v>
      </c>
      <c r="C11" s="9">
        <v>29</v>
      </c>
      <c r="D11" s="9">
        <v>29.6</v>
      </c>
    </row>
    <row r="12" spans="1:9">
      <c r="A12" s="8" t="s">
        <v>9</v>
      </c>
      <c r="B12" s="9">
        <v>65.3</v>
      </c>
      <c r="C12" s="9">
        <v>33.200000000000003</v>
      </c>
      <c r="D12" s="9">
        <v>26.2</v>
      </c>
    </row>
    <row r="13" spans="1:9" ht="30">
      <c r="A13" s="10" t="s">
        <v>10</v>
      </c>
      <c r="B13" s="11">
        <f>AVERAGE(B8:B12)</f>
        <v>61.440000000000012</v>
      </c>
      <c r="C13" s="11">
        <f>AVERAGE(C8:C12)</f>
        <v>31.26</v>
      </c>
      <c r="D13" s="11">
        <f>AVERAGE(D8:D12)</f>
        <v>30.879999999999995</v>
      </c>
    </row>
    <row r="14" spans="1:9">
      <c r="A14" s="10" t="s">
        <v>11</v>
      </c>
      <c r="B14" s="12">
        <f>TAN(RADIANS(B13))</f>
        <v>1.8371803208640609</v>
      </c>
      <c r="C14" s="12">
        <f>TAN(RADIANS(C13))</f>
        <v>0.60705372180344996</v>
      </c>
      <c r="D14" s="12">
        <f>TAN(RADIANS(D13))</f>
        <v>0.59801365573397225</v>
      </c>
    </row>
    <row r="15" spans="1:9">
      <c r="A15" s="10" t="s">
        <v>12</v>
      </c>
      <c r="B15" s="13"/>
      <c r="C15" s="14">
        <f>(C14-$B$14)/$B$14</f>
        <v>-0.66957314156405667</v>
      </c>
      <c r="D15" s="14">
        <f>(D14-$B$14)/$B$14</f>
        <v>-0.67449376147643747</v>
      </c>
    </row>
    <row r="17" spans="1:4" ht="15.75">
      <c r="A17" s="5" t="s">
        <v>13</v>
      </c>
    </row>
    <row r="18" spans="1:4">
      <c r="A18" s="6"/>
      <c r="B18" s="7" t="s">
        <v>2</v>
      </c>
      <c r="C18" s="7" t="s">
        <v>3</v>
      </c>
      <c r="D18" s="7" t="s">
        <v>4</v>
      </c>
    </row>
    <row r="19" spans="1:4">
      <c r="A19" s="8" t="s">
        <v>5</v>
      </c>
      <c r="B19" s="9">
        <v>33.799999999999997</v>
      </c>
      <c r="C19" s="9">
        <v>22.9</v>
      </c>
      <c r="D19" s="9">
        <v>23.4</v>
      </c>
    </row>
    <row r="20" spans="1:4">
      <c r="A20" s="8" t="s">
        <v>6</v>
      </c>
      <c r="B20" s="9">
        <v>36.9</v>
      </c>
      <c r="C20" s="9">
        <v>21.9</v>
      </c>
      <c r="D20" s="9">
        <v>24.2</v>
      </c>
    </row>
    <row r="21" spans="1:4">
      <c r="A21" s="8" t="s">
        <v>7</v>
      </c>
      <c r="B21" s="9">
        <v>29.6</v>
      </c>
      <c r="C21" s="9">
        <v>22</v>
      </c>
      <c r="D21" s="9">
        <v>23.7</v>
      </c>
    </row>
    <row r="22" spans="1:4">
      <c r="A22" s="8" t="s">
        <v>8</v>
      </c>
      <c r="B22" s="9">
        <v>26.8</v>
      </c>
      <c r="C22" s="9">
        <v>20.8</v>
      </c>
      <c r="D22" s="9">
        <v>22.2</v>
      </c>
    </row>
    <row r="23" spans="1:4">
      <c r="A23" s="8" t="s">
        <v>9</v>
      </c>
      <c r="B23" s="9">
        <v>29.2</v>
      </c>
      <c r="C23" s="9">
        <v>22.1</v>
      </c>
      <c r="D23" s="9">
        <v>24.4</v>
      </c>
    </row>
    <row r="24" spans="1:4" ht="30">
      <c r="A24" s="10" t="s">
        <v>14</v>
      </c>
      <c r="B24" s="11">
        <f>AVERAGE(B19:B23)</f>
        <v>31.259999999999998</v>
      </c>
      <c r="C24" s="11">
        <f>AVERAGE(C19:C23)</f>
        <v>21.939999999999998</v>
      </c>
      <c r="D24" s="11">
        <f>AVERAGE(D19:D23)</f>
        <v>23.580000000000002</v>
      </c>
    </row>
    <row r="25" spans="1:4">
      <c r="A25" s="10" t="s">
        <v>11</v>
      </c>
      <c r="B25" s="12">
        <f>TAN(RADIANS(B24))</f>
        <v>0.60705372180344985</v>
      </c>
      <c r="C25" s="12">
        <f>TAN(RADIANS(C24))</f>
        <v>0.4028086014231535</v>
      </c>
      <c r="D25" s="12">
        <f>TAN(RADIANS(D24))</f>
        <v>0.43647362808376883</v>
      </c>
    </row>
    <row r="26" spans="1:4">
      <c r="A26" s="10" t="s">
        <v>12</v>
      </c>
      <c r="B26" s="13"/>
      <c r="C26" s="14">
        <f>(C25-$B$25)/$B$25</f>
        <v>-0.33645312275414441</v>
      </c>
      <c r="D26" s="14">
        <f>(D25-$B$25)/$B$25</f>
        <v>-0.28099670192766063</v>
      </c>
    </row>
    <row r="28" spans="1:4" ht="15.75">
      <c r="A28" s="5" t="s">
        <v>15</v>
      </c>
    </row>
    <row r="29" spans="1:4" ht="30">
      <c r="A29" s="6"/>
      <c r="B29" s="7" t="s">
        <v>16</v>
      </c>
      <c r="C29" s="7" t="s">
        <v>11</v>
      </c>
      <c r="D29" s="7" t="s">
        <v>12</v>
      </c>
    </row>
    <row r="30" spans="1:4">
      <c r="A30" s="1" t="s">
        <v>17</v>
      </c>
      <c r="B30" s="9">
        <v>36.4</v>
      </c>
      <c r="C30" s="15">
        <f>TAN(RADIANS(B30))</f>
        <v>0.73726358502586253</v>
      </c>
      <c r="D30" s="16">
        <f>(C30-$B$25)/$B$25</f>
        <v>0.21449479435787341</v>
      </c>
    </row>
    <row r="31" spans="1:4">
      <c r="A31" s="1" t="s">
        <v>18</v>
      </c>
      <c r="B31" s="9">
        <v>27.9</v>
      </c>
      <c r="C31" s="15">
        <f>TAN(RADIANS(B31))</f>
        <v>0.52947274518201459</v>
      </c>
      <c r="D31" s="16">
        <f>(C31-$B$25)/$B$25</f>
        <v>-0.12779919442871682</v>
      </c>
    </row>
    <row r="32" spans="1:4">
      <c r="A32" s="1" t="s">
        <v>19</v>
      </c>
      <c r="B32" s="9">
        <v>26.4</v>
      </c>
      <c r="C32" s="15">
        <f>TAN(RADIANS(B32))</f>
        <v>0.49640431098736704</v>
      </c>
      <c r="D32" s="16">
        <f>(C32-$B$25)/$B$25</f>
        <v>-0.18227284808890204</v>
      </c>
    </row>
    <row r="33" spans="1:9">
      <c r="A33" s="1" t="s">
        <v>20</v>
      </c>
      <c r="B33" s="9">
        <v>30.4</v>
      </c>
      <c r="C33" s="15">
        <f>TAN(RADIANS(B33))</f>
        <v>0.58669651529843359</v>
      </c>
      <c r="D33" s="16">
        <f>(C33-$B$25)/$B$25</f>
        <v>-3.3534439826080939E-2</v>
      </c>
    </row>
    <row r="34" spans="1:9">
      <c r="A34" s="1" t="s">
        <v>21</v>
      </c>
      <c r="B34" s="9">
        <v>36.799999999999997</v>
      </c>
      <c r="C34" s="15">
        <f>TAN(RADIANS(B34))</f>
        <v>0.7480955789278525</v>
      </c>
      <c r="D34" s="16">
        <f>(C34-$B$25)/$B$25</f>
        <v>0.23233834512272175</v>
      </c>
    </row>
    <row r="35" spans="1:9">
      <c r="A35" s="17"/>
    </row>
    <row r="37" spans="1:9" ht="18">
      <c r="A37" s="3" t="s">
        <v>22</v>
      </c>
      <c r="B37" s="4"/>
      <c r="C37" s="4"/>
      <c r="D37" s="4"/>
      <c r="E37" s="4"/>
      <c r="F37" s="4"/>
      <c r="G37" s="4"/>
      <c r="H37" s="4"/>
      <c r="I37" s="4"/>
    </row>
    <row r="39" spans="1:9" ht="15.75">
      <c r="A39" s="18" t="s">
        <v>23</v>
      </c>
    </row>
    <row r="40" spans="1:9">
      <c r="A40" s="7" t="s">
        <v>24</v>
      </c>
      <c r="B40" s="7" t="s">
        <v>25</v>
      </c>
      <c r="C40" s="7" t="s">
        <v>26</v>
      </c>
    </row>
    <row r="41" spans="1:9" ht="15" customHeight="1">
      <c r="A41" s="23" t="s">
        <v>27</v>
      </c>
      <c r="B41" s="9">
        <v>27.3</v>
      </c>
      <c r="C41" s="9">
        <v>38.1</v>
      </c>
    </row>
    <row r="42" spans="1:9">
      <c r="A42" s="23"/>
      <c r="B42" s="9">
        <v>31.7</v>
      </c>
      <c r="C42" s="9">
        <v>36.9</v>
      </c>
    </row>
    <row r="43" spans="1:9">
      <c r="A43" s="23"/>
      <c r="B43" s="9">
        <v>30.8</v>
      </c>
      <c r="C43" s="9">
        <v>49.8</v>
      </c>
    </row>
    <row r="44" spans="1:9">
      <c r="A44" s="10" t="s">
        <v>28</v>
      </c>
      <c r="B44" s="11">
        <f>AVERAGE(B41:B43)</f>
        <v>29.933333333333334</v>
      </c>
      <c r="C44" s="11">
        <f>AVERAGE(C41:C43)</f>
        <v>41.6</v>
      </c>
    </row>
    <row r="45" spans="1:9">
      <c r="A45" s="10" t="s">
        <v>29</v>
      </c>
      <c r="B45" s="12">
        <f>TAN(RADIANS(B44))</f>
        <v>0.57579990620945198</v>
      </c>
      <c r="C45" s="12">
        <f>TAN(RADIANS(C44))</f>
        <v>0.88784154585046382</v>
      </c>
    </row>
    <row r="46" spans="1:9" ht="15" customHeight="1">
      <c r="A46" s="23" t="s">
        <v>30</v>
      </c>
      <c r="B46" s="9">
        <v>36.200000000000003</v>
      </c>
      <c r="C46" s="9">
        <v>35.4</v>
      </c>
    </row>
    <row r="47" spans="1:9">
      <c r="A47" s="23"/>
      <c r="B47" s="9">
        <v>39.200000000000003</v>
      </c>
      <c r="C47" s="9">
        <v>35.700000000000003</v>
      </c>
    </row>
    <row r="48" spans="1:9">
      <c r="A48" s="23"/>
      <c r="B48" s="9">
        <v>41.1</v>
      </c>
      <c r="C48" s="9">
        <v>32.4</v>
      </c>
    </row>
    <row r="49" spans="1:7">
      <c r="A49" s="10" t="s">
        <v>28</v>
      </c>
      <c r="B49" s="11">
        <f>AVERAGE(B46:B48)</f>
        <v>38.833333333333336</v>
      </c>
      <c r="C49" s="11">
        <f>AVERAGE(C46:C48)</f>
        <v>34.5</v>
      </c>
    </row>
    <row r="50" spans="1:7">
      <c r="A50" s="10" t="s">
        <v>29</v>
      </c>
      <c r="B50" s="12">
        <f>TAN(RADIANS(B49))</f>
        <v>0.8049789562794305</v>
      </c>
      <c r="C50" s="12">
        <f>TAN(RADIANS(C49))</f>
        <v>0.68728095860161309</v>
      </c>
    </row>
    <row r="52" spans="1:7" ht="15.75">
      <c r="A52" s="18" t="s">
        <v>31</v>
      </c>
    </row>
    <row r="53" spans="1:7">
      <c r="A53" s="7" t="s">
        <v>32</v>
      </c>
      <c r="B53" s="6" t="s">
        <v>33</v>
      </c>
      <c r="C53" s="6" t="s">
        <v>34</v>
      </c>
      <c r="D53" s="6" t="s">
        <v>35</v>
      </c>
      <c r="E53" s="6" t="s">
        <v>36</v>
      </c>
      <c r="F53" s="6" t="s">
        <v>37</v>
      </c>
      <c r="G53" s="6" t="s">
        <v>38</v>
      </c>
    </row>
    <row r="54" spans="1:7" ht="15" customHeight="1">
      <c r="A54" s="23" t="s">
        <v>27</v>
      </c>
      <c r="B54" s="9">
        <v>33.299999999999997</v>
      </c>
      <c r="C54" s="9">
        <v>34.200000000000003</v>
      </c>
      <c r="D54" s="9">
        <v>32.4</v>
      </c>
      <c r="E54" s="9">
        <v>34.5</v>
      </c>
      <c r="F54" s="9">
        <v>36.4</v>
      </c>
      <c r="G54" s="9">
        <v>37.1</v>
      </c>
    </row>
    <row r="55" spans="1:7">
      <c r="A55" s="23"/>
      <c r="B55" s="9">
        <v>40</v>
      </c>
      <c r="C55" s="9">
        <v>36</v>
      </c>
      <c r="D55" s="9">
        <v>34.200000000000003</v>
      </c>
      <c r="E55" s="9">
        <v>36.799999999999997</v>
      </c>
      <c r="F55" s="9">
        <v>37.799999999999997</v>
      </c>
      <c r="G55" s="9">
        <v>38</v>
      </c>
    </row>
    <row r="56" spans="1:7">
      <c r="A56" s="23"/>
      <c r="B56" s="9">
        <v>34.9</v>
      </c>
      <c r="C56" s="9">
        <v>35.200000000000003</v>
      </c>
      <c r="D56" s="9">
        <v>34.799999999999997</v>
      </c>
      <c r="E56" s="9">
        <v>36.4</v>
      </c>
      <c r="F56" s="9">
        <v>37.299999999999997</v>
      </c>
      <c r="G56" s="9">
        <v>38.6</v>
      </c>
    </row>
    <row r="57" spans="1:7">
      <c r="A57" s="10" t="s">
        <v>28</v>
      </c>
      <c r="B57" s="11">
        <f t="shared" ref="B57:G57" si="0">AVERAGE(B54:B56)</f>
        <v>36.066666666666663</v>
      </c>
      <c r="C57" s="11">
        <f t="shared" si="0"/>
        <v>35.133333333333333</v>
      </c>
      <c r="D57" s="11">
        <f t="shared" si="0"/>
        <v>33.799999999999997</v>
      </c>
      <c r="E57" s="11">
        <f t="shared" si="0"/>
        <v>35.9</v>
      </c>
      <c r="F57" s="11">
        <f t="shared" si="0"/>
        <v>37.166666666666664</v>
      </c>
      <c r="G57" s="11">
        <f t="shared" si="0"/>
        <v>37.9</v>
      </c>
    </row>
    <row r="58" spans="1:7">
      <c r="A58" s="10" t="s">
        <v>29</v>
      </c>
      <c r="B58" s="12">
        <f t="shared" ref="B58:G58" si="1">TAN(RADIANS(B57))</f>
        <v>0.72832178347915144</v>
      </c>
      <c r="C58" s="12">
        <f t="shared" si="1"/>
        <v>0.70368126847034596</v>
      </c>
      <c r="D58" s="12">
        <f t="shared" si="1"/>
        <v>0.66944165152219937</v>
      </c>
      <c r="E58" s="12">
        <f t="shared" si="1"/>
        <v>0.72387927664198448</v>
      </c>
      <c r="F58" s="12">
        <f t="shared" si="1"/>
        <v>0.75812475445029015</v>
      </c>
      <c r="G58" s="12">
        <f t="shared" si="1"/>
        <v>0.7784787602548503</v>
      </c>
    </row>
    <row r="59" spans="1:7" ht="15" customHeight="1">
      <c r="A59" s="23" t="s">
        <v>30</v>
      </c>
      <c r="B59" s="9">
        <v>25.7</v>
      </c>
      <c r="C59" s="9">
        <v>29.5</v>
      </c>
      <c r="D59" s="9">
        <v>37.4</v>
      </c>
      <c r="E59" s="9">
        <v>37</v>
      </c>
      <c r="F59" s="9">
        <v>41.9</v>
      </c>
      <c r="G59" s="9">
        <v>44.7</v>
      </c>
    </row>
    <row r="60" spans="1:7">
      <c r="A60" s="23"/>
      <c r="B60" s="9">
        <v>24.5</v>
      </c>
      <c r="C60" s="9">
        <v>33.5</v>
      </c>
      <c r="D60" s="9">
        <v>36.700000000000003</v>
      </c>
      <c r="E60" s="9">
        <v>37.6</v>
      </c>
      <c r="F60" s="9">
        <v>40.299999999999997</v>
      </c>
      <c r="G60" s="9">
        <v>42.8</v>
      </c>
    </row>
    <row r="61" spans="1:7">
      <c r="A61" s="23"/>
      <c r="B61" s="9">
        <v>25.6</v>
      </c>
      <c r="C61" s="9">
        <v>32.200000000000003</v>
      </c>
      <c r="D61" s="9">
        <v>39.1</v>
      </c>
      <c r="E61" s="9">
        <v>39.9</v>
      </c>
      <c r="F61" s="9">
        <v>43</v>
      </c>
      <c r="G61" s="9">
        <v>43.8</v>
      </c>
    </row>
    <row r="62" spans="1:7">
      <c r="A62" s="10" t="s">
        <v>28</v>
      </c>
      <c r="B62" s="11">
        <f t="shared" ref="B62:G62" si="2">AVERAGE(B59:B61)</f>
        <v>25.266666666666669</v>
      </c>
      <c r="C62" s="11">
        <f t="shared" si="2"/>
        <v>31.733333333333334</v>
      </c>
      <c r="D62" s="11">
        <f t="shared" si="2"/>
        <v>37.733333333333327</v>
      </c>
      <c r="E62" s="11">
        <f t="shared" si="2"/>
        <v>38.166666666666664</v>
      </c>
      <c r="F62" s="11">
        <f t="shared" si="2"/>
        <v>41.733333333333327</v>
      </c>
      <c r="G62" s="11">
        <f t="shared" si="2"/>
        <v>43.766666666666673</v>
      </c>
    </row>
    <row r="63" spans="1:7">
      <c r="A63" s="10" t="s">
        <v>29</v>
      </c>
      <c r="B63" s="12">
        <f t="shared" ref="B63:G63" si="3">TAN(RADIANS(B62))</f>
        <v>0.47198625962777102</v>
      </c>
      <c r="C63" s="12">
        <f t="shared" si="3"/>
        <v>0.61841656913459353</v>
      </c>
      <c r="D63" s="12">
        <f t="shared" si="3"/>
        <v>0.77381755291256049</v>
      </c>
      <c r="E63" s="12">
        <f t="shared" si="3"/>
        <v>0.78598079505190455</v>
      </c>
      <c r="F63" s="12">
        <f t="shared" si="3"/>
        <v>0.8920116452843132</v>
      </c>
      <c r="G63" s="12">
        <f t="shared" si="3"/>
        <v>0.95784935788577519</v>
      </c>
    </row>
    <row r="65" spans="1:9" ht="18">
      <c r="A65" s="3" t="s">
        <v>39</v>
      </c>
      <c r="B65" s="4"/>
      <c r="C65" s="4"/>
      <c r="D65" s="4"/>
      <c r="E65" s="4"/>
      <c r="F65" s="4"/>
      <c r="G65" s="4"/>
      <c r="H65" s="4"/>
      <c r="I65" s="4"/>
    </row>
    <row r="67" spans="1:9" ht="15.75">
      <c r="A67" s="18" t="s">
        <v>23</v>
      </c>
    </row>
    <row r="68" spans="1:9">
      <c r="A68" s="7" t="s">
        <v>24</v>
      </c>
      <c r="B68" s="7" t="s">
        <v>26</v>
      </c>
    </row>
    <row r="69" spans="1:9" ht="15" customHeight="1">
      <c r="A69" s="23" t="s">
        <v>27</v>
      </c>
      <c r="B69" s="9">
        <v>42</v>
      </c>
    </row>
    <row r="70" spans="1:9">
      <c r="A70" s="23"/>
      <c r="B70" s="9">
        <v>39.5</v>
      </c>
    </row>
    <row r="71" spans="1:9">
      <c r="A71" s="23"/>
      <c r="B71" s="9">
        <v>31.3</v>
      </c>
    </row>
    <row r="72" spans="1:9">
      <c r="A72" s="10" t="s">
        <v>28</v>
      </c>
      <c r="B72" s="11">
        <f>AVERAGE(B69:B71)</f>
        <v>37.6</v>
      </c>
    </row>
    <row r="73" spans="1:9">
      <c r="A73" s="10" t="s">
        <v>29</v>
      </c>
      <c r="B73" s="12">
        <f>TAN(RADIANS(B72))</f>
        <v>0.77010367233556531</v>
      </c>
    </row>
    <row r="74" spans="1:9" ht="15" customHeight="1">
      <c r="A74" s="23" t="s">
        <v>30</v>
      </c>
      <c r="B74" s="9">
        <v>38.299999999999997</v>
      </c>
    </row>
    <row r="75" spans="1:9">
      <c r="A75" s="23"/>
      <c r="B75" s="9">
        <v>47.3</v>
      </c>
    </row>
    <row r="76" spans="1:9">
      <c r="A76" s="23"/>
      <c r="B76" s="9">
        <v>45.8</v>
      </c>
    </row>
    <row r="77" spans="1:9">
      <c r="A77" s="10" t="s">
        <v>28</v>
      </c>
      <c r="B77" s="11">
        <f>AVERAGE(B74:B76)</f>
        <v>43.79999999999999</v>
      </c>
    </row>
    <row r="78" spans="1:9">
      <c r="A78" s="10" t="s">
        <v>29</v>
      </c>
      <c r="B78" s="12">
        <f>TAN(RADIANS(B77))</f>
        <v>0.95896552196289853</v>
      </c>
    </row>
    <row r="80" spans="1:9" ht="15.75">
      <c r="A80" s="18" t="s">
        <v>31</v>
      </c>
    </row>
    <row r="81" spans="1:9">
      <c r="A81" s="7" t="s">
        <v>32</v>
      </c>
      <c r="B81" s="6" t="s">
        <v>33</v>
      </c>
      <c r="C81" s="6" t="s">
        <v>40</v>
      </c>
      <c r="D81" s="6" t="s">
        <v>38</v>
      </c>
      <c r="E81" s="6" t="s">
        <v>41</v>
      </c>
      <c r="F81" s="6" t="s">
        <v>42</v>
      </c>
    </row>
    <row r="82" spans="1:9" ht="15" customHeight="1">
      <c r="A82" s="23" t="s">
        <v>27</v>
      </c>
      <c r="B82" s="9">
        <v>32.5</v>
      </c>
      <c r="C82" s="9">
        <v>31.1</v>
      </c>
      <c r="D82" s="9">
        <v>32.5</v>
      </c>
      <c r="E82" s="9">
        <v>41.4</v>
      </c>
      <c r="F82" s="9">
        <v>53.5</v>
      </c>
    </row>
    <row r="83" spans="1:9">
      <c r="A83" s="23"/>
      <c r="B83" s="9"/>
      <c r="C83" s="9">
        <v>36.9</v>
      </c>
      <c r="D83" s="9">
        <v>35.4</v>
      </c>
      <c r="E83" s="9">
        <v>43.5</v>
      </c>
      <c r="F83" s="9">
        <v>59.2</v>
      </c>
    </row>
    <row r="84" spans="1:9">
      <c r="A84" s="23"/>
      <c r="B84" s="9"/>
      <c r="C84" s="9">
        <v>33.799999999999997</v>
      </c>
      <c r="D84" s="9">
        <v>37.5</v>
      </c>
      <c r="E84" s="9">
        <v>45.7</v>
      </c>
      <c r="F84" s="9">
        <v>60.1</v>
      </c>
    </row>
    <row r="85" spans="1:9">
      <c r="A85" s="10" t="s">
        <v>28</v>
      </c>
      <c r="B85" s="11">
        <f>AVERAGE(B82:B84)</f>
        <v>32.5</v>
      </c>
      <c r="C85" s="11">
        <f>AVERAGE(C82:C84)</f>
        <v>33.93333333333333</v>
      </c>
      <c r="D85" s="11">
        <f>AVERAGE(D82:D84)</f>
        <v>35.133333333333333</v>
      </c>
      <c r="E85" s="11">
        <f>AVERAGE(E82:E84)</f>
        <v>43.533333333333339</v>
      </c>
      <c r="F85" s="11">
        <f>AVERAGE(F82:F84)</f>
        <v>57.6</v>
      </c>
    </row>
    <row r="86" spans="1:9">
      <c r="A86" s="10" t="s">
        <v>29</v>
      </c>
      <c r="B86" s="12">
        <f>TAN(RADIANS(B85))</f>
        <v>0.63707026080749318</v>
      </c>
      <c r="C86" s="12">
        <f>TAN(RADIANS(C85))</f>
        <v>0.6728169188335541</v>
      </c>
      <c r="D86" s="12">
        <f>TAN(RADIANS(D85))</f>
        <v>0.70368126847034596</v>
      </c>
      <c r="E86" s="12">
        <f>TAN(RADIANS(E85))</f>
        <v>0.95007086332512658</v>
      </c>
      <c r="F86" s="12">
        <f>TAN(RADIANS(F85))</f>
        <v>1.5757478599686512</v>
      </c>
    </row>
    <row r="87" spans="1:9" ht="15" customHeight="1">
      <c r="A87" s="23" t="s">
        <v>30</v>
      </c>
      <c r="B87" s="9">
        <v>29.7</v>
      </c>
      <c r="C87" s="9">
        <v>32.5</v>
      </c>
      <c r="D87" s="9">
        <v>37.5</v>
      </c>
      <c r="E87" s="9">
        <v>44.9</v>
      </c>
      <c r="F87" s="9">
        <v>45.7</v>
      </c>
    </row>
    <row r="88" spans="1:9">
      <c r="A88" s="23"/>
      <c r="B88" s="9"/>
      <c r="C88" s="9">
        <v>33.9</v>
      </c>
      <c r="D88" s="9">
        <v>39.6</v>
      </c>
      <c r="E88" s="9">
        <v>45.4</v>
      </c>
      <c r="F88" s="9">
        <v>46.9</v>
      </c>
    </row>
    <row r="89" spans="1:9">
      <c r="A89" s="23"/>
      <c r="B89" s="9"/>
      <c r="C89" s="9">
        <v>35.299999999999997</v>
      </c>
      <c r="D89" s="9">
        <v>44.5</v>
      </c>
      <c r="E89" s="9">
        <v>46.4</v>
      </c>
      <c r="F89" s="9">
        <v>49.9</v>
      </c>
    </row>
    <row r="90" spans="1:9">
      <c r="A90" s="10" t="s">
        <v>28</v>
      </c>
      <c r="B90" s="11">
        <f>AVERAGE(B87:B89)</f>
        <v>29.7</v>
      </c>
      <c r="C90" s="11">
        <f>AVERAGE(C87:C89)</f>
        <v>33.9</v>
      </c>
      <c r="D90" s="11">
        <f>AVERAGE(D87:D89)</f>
        <v>40.533333333333331</v>
      </c>
      <c r="E90" s="11">
        <f>AVERAGE(E87:E89)</f>
        <v>45.566666666666663</v>
      </c>
      <c r="F90" s="11">
        <f>AVERAGE(F87:F89)</f>
        <v>47.5</v>
      </c>
    </row>
    <row r="91" spans="1:9">
      <c r="A91" s="10" t="s">
        <v>29</v>
      </c>
      <c r="B91" s="12">
        <f>TAN(RADIANS(B90))</f>
        <v>0.57038992967329483</v>
      </c>
      <c r="C91" s="12">
        <f>TAN(RADIANS(C90))</f>
        <v>0.67197211293758841</v>
      </c>
      <c r="D91" s="12">
        <f>TAN(RADIANS(D90))</f>
        <v>0.85508734121393437</v>
      </c>
      <c r="E91" s="12">
        <f>TAN(RADIANS(E90))</f>
        <v>1.0199786423545918</v>
      </c>
      <c r="F91" s="12">
        <f>TAN(RADIANS(F90))</f>
        <v>1.0913085010692714</v>
      </c>
    </row>
    <row r="92" spans="1:9">
      <c r="A92" s="17" t="s">
        <v>43</v>
      </c>
    </row>
    <row r="94" spans="1:9" ht="20.25">
      <c r="A94" s="3" t="s">
        <v>72</v>
      </c>
      <c r="B94" s="4"/>
      <c r="C94" s="4"/>
      <c r="D94" s="4"/>
      <c r="E94" s="4"/>
      <c r="F94" s="4"/>
      <c r="G94" s="4"/>
      <c r="H94" s="4"/>
      <c r="I94" s="4"/>
    </row>
    <row r="96" spans="1:9" ht="15.75">
      <c r="A96" s="18" t="s">
        <v>23</v>
      </c>
    </row>
    <row r="97" spans="1:7">
      <c r="A97" s="7" t="s">
        <v>32</v>
      </c>
      <c r="B97" s="6" t="s">
        <v>33</v>
      </c>
      <c r="C97" s="6" t="s">
        <v>40</v>
      </c>
      <c r="D97" s="6" t="s">
        <v>38</v>
      </c>
      <c r="E97" s="6" t="s">
        <v>41</v>
      </c>
      <c r="F97" s="6" t="s">
        <v>42</v>
      </c>
      <c r="G97" s="6" t="s">
        <v>44</v>
      </c>
    </row>
    <row r="98" spans="1:7" ht="15" customHeight="1">
      <c r="A98" s="23" t="s">
        <v>27</v>
      </c>
      <c r="B98" s="9">
        <v>56.4</v>
      </c>
      <c r="C98" s="9">
        <v>42.7</v>
      </c>
      <c r="D98" s="9">
        <v>36.6</v>
      </c>
      <c r="E98" s="9">
        <v>33.1</v>
      </c>
      <c r="F98" s="9">
        <v>37.200000000000003</v>
      </c>
      <c r="G98" s="9">
        <v>32.9</v>
      </c>
    </row>
    <row r="99" spans="1:7">
      <c r="A99" s="23"/>
      <c r="B99" s="9"/>
      <c r="C99" s="9"/>
      <c r="D99" s="9"/>
      <c r="E99" s="9">
        <v>31.9</v>
      </c>
      <c r="F99" s="9">
        <v>38.700000000000003</v>
      </c>
      <c r="G99" s="9">
        <v>37.200000000000003</v>
      </c>
    </row>
    <row r="100" spans="1:7">
      <c r="A100" s="23"/>
      <c r="B100" s="9"/>
      <c r="C100" s="9"/>
      <c r="D100" s="9"/>
      <c r="E100" s="9">
        <v>29.3</v>
      </c>
      <c r="F100" s="9">
        <v>39</v>
      </c>
      <c r="G100" s="9">
        <v>34.9</v>
      </c>
    </row>
    <row r="101" spans="1:7">
      <c r="A101" s="10" t="s">
        <v>28</v>
      </c>
      <c r="B101" s="11">
        <f t="shared" ref="B101:G101" si="4">AVERAGE(B98:B100)</f>
        <v>56.4</v>
      </c>
      <c r="C101" s="11">
        <f t="shared" si="4"/>
        <v>42.7</v>
      </c>
      <c r="D101" s="11">
        <f t="shared" si="4"/>
        <v>36.6</v>
      </c>
      <c r="E101" s="11">
        <f t="shared" si="4"/>
        <v>31.433333333333334</v>
      </c>
      <c r="F101" s="11">
        <f t="shared" si="4"/>
        <v>38.300000000000004</v>
      </c>
      <c r="G101" s="11">
        <f t="shared" si="4"/>
        <v>35</v>
      </c>
    </row>
    <row r="102" spans="1:7">
      <c r="A102" s="10" t="s">
        <v>29</v>
      </c>
      <c r="B102" s="12">
        <f t="shared" ref="B102:G102" si="5">TAN(RADIANS(B101))</f>
        <v>1.5051209976895348</v>
      </c>
      <c r="C102" s="12">
        <f t="shared" si="5"/>
        <v>0.92277344108221393</v>
      </c>
      <c r="D102" s="12">
        <f t="shared" si="5"/>
        <v>0.74266554153381081</v>
      </c>
      <c r="E102" s="12">
        <f t="shared" si="5"/>
        <v>0.61120143201371191</v>
      </c>
      <c r="F102" s="12">
        <f t="shared" si="5"/>
        <v>0.78975241236447613</v>
      </c>
      <c r="G102" s="12">
        <f t="shared" si="5"/>
        <v>0.70020753820970971</v>
      </c>
    </row>
    <row r="103" spans="1:7" ht="15" customHeight="1">
      <c r="A103" s="23" t="s">
        <v>30</v>
      </c>
      <c r="B103" s="9">
        <v>43.6</v>
      </c>
      <c r="C103" s="9">
        <v>33.1</v>
      </c>
      <c r="D103" s="9">
        <v>32.1</v>
      </c>
      <c r="E103" s="9">
        <v>29.1</v>
      </c>
      <c r="F103" s="9">
        <v>33.799999999999997</v>
      </c>
      <c r="G103" s="9">
        <v>30.5</v>
      </c>
    </row>
    <row r="104" spans="1:7">
      <c r="A104" s="23"/>
      <c r="B104" s="9"/>
      <c r="C104" s="9"/>
      <c r="D104" s="9"/>
      <c r="E104" s="9">
        <v>30.4</v>
      </c>
      <c r="F104" s="9">
        <v>33.9</v>
      </c>
      <c r="G104" s="9">
        <v>34.200000000000003</v>
      </c>
    </row>
    <row r="105" spans="1:7">
      <c r="A105" s="23"/>
      <c r="B105" s="9"/>
      <c r="C105" s="9"/>
      <c r="D105" s="9"/>
      <c r="E105" s="9">
        <v>31.3</v>
      </c>
      <c r="F105" s="9">
        <v>36.9</v>
      </c>
      <c r="G105" s="9">
        <v>33.5</v>
      </c>
    </row>
    <row r="106" spans="1:7">
      <c r="A106" s="10" t="s">
        <v>28</v>
      </c>
      <c r="B106" s="11">
        <f t="shared" ref="B106:G106" si="6">AVERAGE(B103:B105)</f>
        <v>43.6</v>
      </c>
      <c r="C106" s="11">
        <f t="shared" si="6"/>
        <v>33.1</v>
      </c>
      <c r="D106" s="11">
        <f t="shared" si="6"/>
        <v>32.1</v>
      </c>
      <c r="E106" s="11">
        <f t="shared" si="6"/>
        <v>30.266666666666666</v>
      </c>
      <c r="F106" s="11">
        <f t="shared" si="6"/>
        <v>34.866666666666667</v>
      </c>
      <c r="G106" s="11">
        <f t="shared" si="6"/>
        <v>32.733333333333334</v>
      </c>
    </row>
    <row r="107" spans="1:7">
      <c r="A107" s="10" t="s">
        <v>29</v>
      </c>
      <c r="B107" s="12">
        <f t="shared" ref="B107:G107" si="7">TAN(RADIANS(B106))</f>
        <v>0.95228713024942457</v>
      </c>
      <c r="C107" s="12">
        <f t="shared" si="7"/>
        <v>0.65189179873828929</v>
      </c>
      <c r="D107" s="12">
        <f t="shared" si="7"/>
        <v>0.62729881744893323</v>
      </c>
      <c r="E107" s="12">
        <f t="shared" si="7"/>
        <v>0.58357264945826615</v>
      </c>
      <c r="F107" s="12">
        <f t="shared" si="7"/>
        <v>0.69674511014074636</v>
      </c>
      <c r="G107" s="12">
        <f t="shared" si="7"/>
        <v>0.64281045236959145</v>
      </c>
    </row>
    <row r="108" spans="1:7">
      <c r="A108" s="17"/>
    </row>
    <row r="110" spans="1:7" ht="15.75">
      <c r="A110" s="18" t="s">
        <v>31</v>
      </c>
    </row>
    <row r="111" spans="1:7">
      <c r="A111" s="7" t="s">
        <v>32</v>
      </c>
      <c r="B111" s="6" t="s">
        <v>33</v>
      </c>
      <c r="C111" s="6" t="s">
        <v>40</v>
      </c>
      <c r="D111" s="6" t="s">
        <v>38</v>
      </c>
      <c r="E111" s="6" t="s">
        <v>41</v>
      </c>
      <c r="F111" s="6" t="s">
        <v>42</v>
      </c>
    </row>
    <row r="112" spans="1:7" ht="15" customHeight="1">
      <c r="A112" s="23" t="s">
        <v>27</v>
      </c>
      <c r="B112" s="9">
        <v>34.9</v>
      </c>
      <c r="C112" s="9">
        <v>34.1</v>
      </c>
      <c r="D112" s="9">
        <v>35.1</v>
      </c>
      <c r="E112" s="9">
        <v>34.4</v>
      </c>
      <c r="F112" s="9">
        <v>33.200000000000003</v>
      </c>
    </row>
    <row r="113" spans="1:7">
      <c r="A113" s="23"/>
      <c r="B113" s="9">
        <v>31.2</v>
      </c>
      <c r="C113" s="9">
        <v>34.4</v>
      </c>
      <c r="D113" s="9">
        <v>41.7</v>
      </c>
      <c r="E113" s="9">
        <v>33.9</v>
      </c>
      <c r="F113" s="9">
        <v>37.4</v>
      </c>
    </row>
    <row r="114" spans="1:7">
      <c r="A114" s="23"/>
      <c r="B114" s="9">
        <v>33</v>
      </c>
      <c r="C114" s="9">
        <v>34.6</v>
      </c>
      <c r="D114" s="9">
        <v>38.299999999999997</v>
      </c>
      <c r="E114" s="9">
        <v>33.6</v>
      </c>
      <c r="F114" s="9">
        <v>34.4</v>
      </c>
    </row>
    <row r="115" spans="1:7">
      <c r="A115" s="10" t="s">
        <v>28</v>
      </c>
      <c r="B115" s="11">
        <f>AVERAGE(B112:B114)</f>
        <v>33.033333333333331</v>
      </c>
      <c r="C115" s="11">
        <f>AVERAGE(C112:C114)</f>
        <v>34.366666666666667</v>
      </c>
      <c r="D115" s="11">
        <f>AVERAGE(D112:D114)</f>
        <v>38.366666666666667</v>
      </c>
      <c r="E115" s="11">
        <f>AVERAGE(E112:E114)</f>
        <v>33.966666666666669</v>
      </c>
      <c r="F115" s="11">
        <f>AVERAGE(F112:F114)</f>
        <v>35</v>
      </c>
    </row>
    <row r="116" spans="1:7">
      <c r="A116" s="10" t="s">
        <v>29</v>
      </c>
      <c r="B116" s="12">
        <f>TAN(RADIANS(B115))</f>
        <v>0.65023503502170477</v>
      </c>
      <c r="C116" s="12">
        <f>TAN(RADIANS(C115))</f>
        <v>0.68386009772941947</v>
      </c>
      <c r="D116" s="12">
        <f>TAN(RADIANS(D115))</f>
        <v>0.79164342196351867</v>
      </c>
      <c r="E116" s="12">
        <f>TAN(RADIANS(E115))</f>
        <v>0.67366238635165476</v>
      </c>
      <c r="F116" s="12">
        <f>TAN(RADIANS(F115))</f>
        <v>0.70020753820970971</v>
      </c>
    </row>
    <row r="117" spans="1:7" ht="15" customHeight="1">
      <c r="A117" s="23" t="s">
        <v>30</v>
      </c>
      <c r="B117" s="9">
        <v>25.8</v>
      </c>
      <c r="C117" s="9">
        <v>30.5</v>
      </c>
      <c r="D117" s="9">
        <v>39.4</v>
      </c>
      <c r="E117" s="9">
        <v>35.4</v>
      </c>
      <c r="F117" s="9">
        <v>35.9</v>
      </c>
    </row>
    <row r="118" spans="1:7">
      <c r="A118" s="23"/>
      <c r="B118" s="9">
        <v>30.9</v>
      </c>
      <c r="C118" s="9">
        <v>32.6</v>
      </c>
      <c r="D118" s="9">
        <v>35.200000000000003</v>
      </c>
      <c r="E118" s="9">
        <v>35.700000000000003</v>
      </c>
      <c r="F118" s="9">
        <v>37.5</v>
      </c>
    </row>
    <row r="119" spans="1:7">
      <c r="A119" s="23"/>
      <c r="B119" s="9">
        <v>30.2</v>
      </c>
      <c r="C119" s="9">
        <v>33.9</v>
      </c>
      <c r="D119" s="9">
        <v>37.9</v>
      </c>
      <c r="E119" s="9">
        <v>33.9</v>
      </c>
      <c r="F119" s="9">
        <v>36.1</v>
      </c>
    </row>
    <row r="120" spans="1:7">
      <c r="A120" s="10" t="s">
        <v>28</v>
      </c>
      <c r="B120" s="11">
        <f>AVERAGE(B117:B119)</f>
        <v>28.966666666666669</v>
      </c>
      <c r="C120" s="11">
        <f>AVERAGE(C117:C119)</f>
        <v>32.333333333333336</v>
      </c>
      <c r="D120" s="11">
        <f>AVERAGE(D117:D119)</f>
        <v>37.5</v>
      </c>
      <c r="E120" s="11">
        <f>AVERAGE(E117:E119)</f>
        <v>35</v>
      </c>
      <c r="F120" s="11">
        <f>AVERAGE(F117:F119)</f>
        <v>36.5</v>
      </c>
    </row>
    <row r="121" spans="1:7">
      <c r="A121" s="10" t="s">
        <v>29</v>
      </c>
      <c r="B121" s="12">
        <f>TAN(RADIANS(B120))</f>
        <v>0.55354876436644029</v>
      </c>
      <c r="C121" s="12">
        <f>TAN(RADIANS(C120))</f>
        <v>0.63298833710421298</v>
      </c>
      <c r="D121" s="12">
        <f>TAN(RADIANS(D120))</f>
        <v>0.76732698797896037</v>
      </c>
      <c r="E121" s="12">
        <f>TAN(RADIANS(E120))</f>
        <v>0.70020753820970971</v>
      </c>
      <c r="F121" s="12">
        <f>TAN(RADIANS(F120))</f>
        <v>0.73996107502848762</v>
      </c>
    </row>
    <row r="123" spans="1:7" ht="15.75">
      <c r="A123" s="18" t="s">
        <v>45</v>
      </c>
    </row>
    <row r="124" spans="1:7" ht="30">
      <c r="A124" s="7" t="s">
        <v>32</v>
      </c>
      <c r="B124" s="7" t="s">
        <v>46</v>
      </c>
      <c r="C124" s="7" t="s">
        <v>47</v>
      </c>
      <c r="D124" s="6" t="s">
        <v>48</v>
      </c>
      <c r="E124" s="7" t="s">
        <v>49</v>
      </c>
      <c r="F124" s="7" t="s">
        <v>50</v>
      </c>
      <c r="G124" s="6" t="s">
        <v>51</v>
      </c>
    </row>
    <row r="125" spans="1:7">
      <c r="A125" s="8" t="s">
        <v>33</v>
      </c>
      <c r="B125" s="15">
        <f>B102</f>
        <v>1.5051209976895348</v>
      </c>
      <c r="C125" s="15">
        <f>B116</f>
        <v>0.65023503502170477</v>
      </c>
      <c r="D125" s="16">
        <f>(C125-B125)/B125</f>
        <v>-0.56798487562138811</v>
      </c>
      <c r="E125" s="15">
        <f>B107</f>
        <v>0.95228713024942457</v>
      </c>
      <c r="F125" s="15">
        <f>B121</f>
        <v>0.55354876436644029</v>
      </c>
      <c r="G125" s="16">
        <f>(F125-E125)/E125</f>
        <v>-0.41871653329867653</v>
      </c>
    </row>
    <row r="126" spans="1:7">
      <c r="A126" s="8" t="s">
        <v>40</v>
      </c>
      <c r="B126" s="15">
        <f>C102</f>
        <v>0.92277344108221393</v>
      </c>
      <c r="C126" s="15">
        <f>C116</f>
        <v>0.68386009772941947</v>
      </c>
      <c r="D126" s="16">
        <f>(C126-B126)/B126</f>
        <v>-0.25890791034536137</v>
      </c>
      <c r="E126" s="15">
        <f>C107</f>
        <v>0.65189179873828929</v>
      </c>
      <c r="F126" s="15">
        <f>C121</f>
        <v>0.63298833710421298</v>
      </c>
      <c r="G126" s="16">
        <f>(F126-E126)/E126</f>
        <v>-2.8997851592339714E-2</v>
      </c>
    </row>
    <row r="127" spans="1:7">
      <c r="A127" s="8" t="s">
        <v>38</v>
      </c>
      <c r="B127" s="15">
        <f>D102</f>
        <v>0.74266554153381081</v>
      </c>
      <c r="C127" s="15">
        <f>D116</f>
        <v>0.79164342196351867</v>
      </c>
      <c r="D127" s="16">
        <f>(C127-B127)/B127</f>
        <v>6.5948771944575366E-2</v>
      </c>
      <c r="E127" s="15">
        <f>D107</f>
        <v>0.62729881744893323</v>
      </c>
      <c r="F127" s="15">
        <f>D121</f>
        <v>0.76732698797896037</v>
      </c>
      <c r="G127" s="16">
        <f>(F127-E127)/E127</f>
        <v>0.22322403077290429</v>
      </c>
    </row>
    <row r="128" spans="1:7">
      <c r="A128" s="8" t="s">
        <v>41</v>
      </c>
      <c r="B128" s="15">
        <f>E102</f>
        <v>0.61120143201371191</v>
      </c>
      <c r="C128" s="15">
        <f>E116</f>
        <v>0.67366238635165476</v>
      </c>
      <c r="D128" s="16">
        <f>(C128-B128)/B128</f>
        <v>0.10219373035850737</v>
      </c>
      <c r="E128" s="15">
        <f>E107</f>
        <v>0.58357264945826615</v>
      </c>
      <c r="F128" s="15">
        <f>E121</f>
        <v>0.70020753820970971</v>
      </c>
      <c r="G128" s="16">
        <f>(F128-E128)/E128</f>
        <v>0.19986352831942417</v>
      </c>
    </row>
    <row r="129" spans="1:9">
      <c r="A129" s="8" t="s">
        <v>42</v>
      </c>
      <c r="B129" s="15">
        <f>F102</f>
        <v>0.78975241236447613</v>
      </c>
      <c r="C129" s="15">
        <f>F116</f>
        <v>0.70020753820970971</v>
      </c>
      <c r="D129" s="16">
        <f>(C129-B129)/B129</f>
        <v>-0.11338347658435623</v>
      </c>
      <c r="E129" s="15">
        <f>F107</f>
        <v>0.69674511014074636</v>
      </c>
      <c r="F129" s="15">
        <f>F121</f>
        <v>0.73996107502848762</v>
      </c>
      <c r="G129" s="16">
        <f>(F129-E129)/E129</f>
        <v>6.2025501519503166E-2</v>
      </c>
    </row>
    <row r="130" spans="1:9">
      <c r="A130" s="17"/>
    </row>
    <row r="132" spans="1:9" ht="15.75">
      <c r="A132" s="18" t="s">
        <v>70</v>
      </c>
    </row>
    <row r="133" spans="1:9" ht="30">
      <c r="A133" s="7" t="s">
        <v>52</v>
      </c>
      <c r="B133" s="6" t="s">
        <v>53</v>
      </c>
      <c r="C133" s="7" t="s">
        <v>54</v>
      </c>
      <c r="D133" s="7" t="s">
        <v>55</v>
      </c>
      <c r="E133" s="7" t="s">
        <v>56</v>
      </c>
      <c r="F133" s="7" t="s">
        <v>57</v>
      </c>
      <c r="G133" s="7" t="s">
        <v>58</v>
      </c>
      <c r="H133" s="7" t="s">
        <v>59</v>
      </c>
      <c r="I133" s="7" t="s">
        <v>60</v>
      </c>
    </row>
    <row r="134" spans="1:9">
      <c r="A134" s="8" t="s">
        <v>5</v>
      </c>
      <c r="B134" s="9">
        <v>25</v>
      </c>
      <c r="C134" s="9">
        <v>30</v>
      </c>
      <c r="D134" s="9">
        <v>30</v>
      </c>
      <c r="E134" s="9">
        <v>40</v>
      </c>
      <c r="F134" s="9">
        <v>35</v>
      </c>
      <c r="G134" s="9">
        <v>45</v>
      </c>
      <c r="H134" s="9">
        <v>30</v>
      </c>
      <c r="I134" s="9">
        <v>40</v>
      </c>
    </row>
    <row r="135" spans="1:9">
      <c r="A135" s="8" t="s">
        <v>6</v>
      </c>
      <c r="B135" s="9">
        <v>30</v>
      </c>
      <c r="C135" s="9">
        <v>35</v>
      </c>
      <c r="D135" s="9">
        <v>35</v>
      </c>
      <c r="E135" s="9">
        <v>45</v>
      </c>
      <c r="F135" s="9">
        <v>40</v>
      </c>
      <c r="G135" s="9">
        <v>50</v>
      </c>
      <c r="H135" s="9">
        <v>35</v>
      </c>
      <c r="I135" s="9">
        <v>45</v>
      </c>
    </row>
    <row r="136" spans="1:9">
      <c r="A136" s="8" t="s">
        <v>7</v>
      </c>
      <c r="B136" s="9">
        <v>35</v>
      </c>
      <c r="C136" s="9">
        <v>40</v>
      </c>
      <c r="D136" s="9">
        <v>40</v>
      </c>
      <c r="E136" s="9">
        <v>50</v>
      </c>
      <c r="F136" s="9">
        <v>45</v>
      </c>
      <c r="G136" s="9"/>
      <c r="H136" s="9">
        <v>40</v>
      </c>
      <c r="I136" s="9">
        <v>50</v>
      </c>
    </row>
    <row r="137" spans="1:9">
      <c r="A137" s="8" t="s">
        <v>8</v>
      </c>
      <c r="B137" s="9">
        <v>40</v>
      </c>
      <c r="C137" s="9">
        <v>45</v>
      </c>
      <c r="D137" s="9">
        <v>45</v>
      </c>
      <c r="E137" s="9"/>
      <c r="F137" s="9">
        <v>50</v>
      </c>
      <c r="G137" s="9"/>
      <c r="H137" s="9">
        <v>45</v>
      </c>
      <c r="I137" s="9"/>
    </row>
    <row r="138" spans="1:9">
      <c r="A138" s="8" t="s">
        <v>9</v>
      </c>
      <c r="B138" s="9">
        <v>45</v>
      </c>
      <c r="C138" s="9">
        <v>50</v>
      </c>
      <c r="D138" s="9">
        <v>50</v>
      </c>
      <c r="E138" s="9"/>
      <c r="F138" s="9"/>
      <c r="G138" s="9"/>
      <c r="H138" s="9">
        <v>50</v>
      </c>
      <c r="I138" s="9"/>
    </row>
    <row r="139" spans="1:9">
      <c r="A139" s="8" t="s">
        <v>61</v>
      </c>
      <c r="B139" s="9">
        <v>50</v>
      </c>
      <c r="C139" s="9"/>
      <c r="D139" s="9"/>
      <c r="E139" s="9"/>
      <c r="F139" s="9"/>
      <c r="G139" s="9"/>
      <c r="H139" s="9"/>
      <c r="I139" s="9"/>
    </row>
    <row r="140" spans="1:9">
      <c r="A140" s="10" t="s">
        <v>62</v>
      </c>
      <c r="B140" s="11">
        <f t="shared" ref="B140:I140" si="8">AVERAGE(B134:B139)</f>
        <v>37.5</v>
      </c>
      <c r="C140" s="11">
        <f t="shared" si="8"/>
        <v>40</v>
      </c>
      <c r="D140" s="11">
        <f t="shared" si="8"/>
        <v>40</v>
      </c>
      <c r="E140" s="11">
        <f t="shared" si="8"/>
        <v>45</v>
      </c>
      <c r="F140" s="11">
        <f t="shared" si="8"/>
        <v>42.5</v>
      </c>
      <c r="G140" s="11">
        <f t="shared" si="8"/>
        <v>47.5</v>
      </c>
      <c r="H140" s="11">
        <f t="shared" si="8"/>
        <v>40</v>
      </c>
      <c r="I140" s="11">
        <f t="shared" si="8"/>
        <v>45</v>
      </c>
    </row>
    <row r="141" spans="1:9">
      <c r="A141" s="10" t="s">
        <v>29</v>
      </c>
      <c r="B141" s="12">
        <f t="shared" ref="B141:I141" si="9">TAN(RADIANS(B140))</f>
        <v>0.76732698797896037</v>
      </c>
      <c r="C141" s="12">
        <f t="shared" si="9"/>
        <v>0.83909963117727993</v>
      </c>
      <c r="D141" s="12">
        <f t="shared" si="9"/>
        <v>0.83909963117727993</v>
      </c>
      <c r="E141" s="12">
        <f t="shared" si="9"/>
        <v>0.99999999999999989</v>
      </c>
      <c r="F141" s="12">
        <f t="shared" si="9"/>
        <v>0.91633117401742337</v>
      </c>
      <c r="G141" s="12">
        <f t="shared" si="9"/>
        <v>1.0913085010692714</v>
      </c>
      <c r="H141" s="12">
        <f t="shared" si="9"/>
        <v>0.83909963117727993</v>
      </c>
      <c r="I141" s="12">
        <f t="shared" si="9"/>
        <v>0.99999999999999989</v>
      </c>
    </row>
    <row r="142" spans="1:9">
      <c r="A142" s="17"/>
    </row>
    <row r="144" spans="1:9" ht="15.75">
      <c r="A144" s="18" t="s">
        <v>63</v>
      </c>
    </row>
    <row r="145" spans="1:7" ht="30">
      <c r="A145" s="7" t="s">
        <v>32</v>
      </c>
      <c r="B145" s="7" t="s">
        <v>64</v>
      </c>
      <c r="C145" s="7" t="s">
        <v>65</v>
      </c>
      <c r="D145" s="7" t="s">
        <v>66</v>
      </c>
      <c r="E145" s="7" t="s">
        <v>67</v>
      </c>
      <c r="F145" s="7" t="s">
        <v>68</v>
      </c>
      <c r="G145" s="7" t="s">
        <v>69</v>
      </c>
    </row>
    <row r="146" spans="1:7">
      <c r="A146" s="8" t="s">
        <v>33</v>
      </c>
      <c r="B146" s="19">
        <v>76.671999999999997</v>
      </c>
      <c r="C146" s="20">
        <f>$B$146-B146</f>
        <v>0</v>
      </c>
      <c r="D146" s="21">
        <f>C146/$B$146</f>
        <v>0</v>
      </c>
      <c r="E146" s="19">
        <v>76.263999999999996</v>
      </c>
      <c r="F146" s="20">
        <f>$E$146-E146</f>
        <v>0</v>
      </c>
      <c r="G146" s="21">
        <f>F146/$E$146</f>
        <v>0</v>
      </c>
    </row>
    <row r="147" spans="1:7">
      <c r="A147" s="8" t="s">
        <v>40</v>
      </c>
      <c r="B147" s="19">
        <v>76.674000000000007</v>
      </c>
      <c r="C147" s="20">
        <f>$B$146-B147</f>
        <v>-2.0000000000095497E-3</v>
      </c>
      <c r="D147" s="21">
        <f>C147/$B$146</f>
        <v>-2.6085141903296505E-5</v>
      </c>
      <c r="E147" s="19">
        <v>76.168999999999997</v>
      </c>
      <c r="F147" s="20">
        <f>$E$146-E147</f>
        <v>9.4999999999998863E-2</v>
      </c>
      <c r="G147" s="21">
        <f>F147/$E$146</f>
        <v>1.2456729256267553E-3</v>
      </c>
    </row>
    <row r="148" spans="1:7">
      <c r="A148" s="8" t="s">
        <v>38</v>
      </c>
      <c r="B148" s="19">
        <v>76.638000000000005</v>
      </c>
      <c r="C148" s="20">
        <f>$B$146-B148</f>
        <v>3.3999999999991815E-2</v>
      </c>
      <c r="D148" s="21">
        <f>C148/$B$146</f>
        <v>4.4344741235381648E-4</v>
      </c>
      <c r="E148" s="19">
        <v>76.105000000000004</v>
      </c>
      <c r="F148" s="20">
        <f>$E$146-E148</f>
        <v>0.15899999999999181</v>
      </c>
      <c r="G148" s="21">
        <f>F148/$E$146</f>
        <v>2.0848631071015396E-3</v>
      </c>
    </row>
    <row r="149" spans="1:7">
      <c r="A149" s="8" t="s">
        <v>41</v>
      </c>
      <c r="B149" s="19">
        <v>76.600999999999999</v>
      </c>
      <c r="C149" s="20">
        <f>$B$146-B149</f>
        <v>7.0999999999997954E-2</v>
      </c>
      <c r="D149" s="21">
        <f>C149/$B$146</f>
        <v>9.2602253756257765E-4</v>
      </c>
      <c r="E149" s="19">
        <v>75.942999999999998</v>
      </c>
      <c r="F149" s="20">
        <f>$E$146-E149</f>
        <v>0.32099999999999795</v>
      </c>
      <c r="G149" s="21">
        <f>F149/$E$146</f>
        <v>4.2090632539599025E-3</v>
      </c>
    </row>
    <row r="150" spans="1:7">
      <c r="A150" s="8" t="s">
        <v>42</v>
      </c>
      <c r="B150" s="19">
        <v>77.028000000000006</v>
      </c>
      <c r="C150" s="20">
        <f>$B$146-B150</f>
        <v>-0.35600000000000875</v>
      </c>
      <c r="D150" s="21">
        <f>C150/$B$146</f>
        <v>-4.6431552587647218E-3</v>
      </c>
      <c r="E150" s="19">
        <v>77.191000000000003</v>
      </c>
      <c r="F150" s="20">
        <f>$E$146-E150</f>
        <v>-0.92700000000000671</v>
      </c>
      <c r="G150" s="21">
        <f>F150/$E$146</f>
        <v>-1.2155145284800257E-2</v>
      </c>
    </row>
    <row r="151" spans="1:7">
      <c r="A151" s="17"/>
    </row>
  </sheetData>
  <mergeCells count="12">
    <mergeCell ref="A41:A43"/>
    <mergeCell ref="A46:A48"/>
    <mergeCell ref="A54:A56"/>
    <mergeCell ref="A59:A61"/>
    <mergeCell ref="A69:A71"/>
    <mergeCell ref="A112:A114"/>
    <mergeCell ref="A117:A119"/>
    <mergeCell ref="A74:A76"/>
    <mergeCell ref="A82:A84"/>
    <mergeCell ref="A87:A89"/>
    <mergeCell ref="A98:A100"/>
    <mergeCell ref="A103:A105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검증데이터 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Sujin An</cp:lastModifiedBy>
  <cp:revision>0</cp:revision>
  <dcterms:created xsi:type="dcterms:W3CDTF">2026-10-27T11:06:45Z</dcterms:created>
  <dcterms:modified xsi:type="dcterms:W3CDTF">2026-10-27T11:51:22Z</dcterms:modified>
  <dc:language>en-US</dc:language>
</cp:coreProperties>
</file>