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ujin\대학\3학년 2학기\캡스톤\solefit\"/>
    </mc:Choice>
  </mc:AlternateContent>
  <xr:revisionPtr revIDLastSave="0" documentId="8_{466C551E-7582-46FC-89F2-0B26CF11AF3B}" xr6:coauthVersionLast="47" xr6:coauthVersionMax="47" xr10:uidLastSave="{00000000-0000-0000-0000-000000000000}"/>
  <bookViews>
    <workbookView xWindow="-120" yWindow="-120" windowWidth="29040" windowHeight="15720" xr2:uid="{2ED5E6EC-5A22-4162-B890-93CC5B144A5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7" i="1" l="1"/>
  <c r="D7" i="1"/>
  <c r="E7" i="1"/>
  <c r="F7" i="1"/>
  <c r="G7" i="1"/>
  <c r="C8" i="1"/>
  <c r="C31" i="1" s="1"/>
  <c r="D8" i="1"/>
  <c r="C32" i="1" s="1"/>
  <c r="E8" i="1"/>
  <c r="C33" i="1" s="1"/>
  <c r="F8" i="1"/>
  <c r="C34" i="1" s="1"/>
  <c r="G8" i="1"/>
  <c r="C35" i="1" s="1"/>
  <c r="C12" i="1"/>
  <c r="C13" i="1" s="1"/>
  <c r="F31" i="1" s="1"/>
  <c r="D12" i="1"/>
  <c r="D13" i="1" s="1"/>
  <c r="F32" i="1" s="1"/>
  <c r="E12" i="1"/>
  <c r="E13" i="1" s="1"/>
  <c r="F33" i="1" s="1"/>
  <c r="F12" i="1"/>
  <c r="F13" i="1" s="1"/>
  <c r="F34" i="1" s="1"/>
  <c r="G12" i="1"/>
  <c r="G13" i="1"/>
  <c r="C21" i="1"/>
  <c r="D21" i="1"/>
  <c r="E21" i="1"/>
  <c r="F21" i="1"/>
  <c r="G21" i="1"/>
  <c r="G22" i="1" s="1"/>
  <c r="D35" i="1" s="1"/>
  <c r="C22" i="1"/>
  <c r="D31" i="1" s="1"/>
  <c r="D22" i="1"/>
  <c r="D32" i="1" s="1"/>
  <c r="E22" i="1"/>
  <c r="D33" i="1" s="1"/>
  <c r="F22" i="1"/>
  <c r="D34" i="1" s="1"/>
  <c r="E34" i="1" s="1"/>
  <c r="C26" i="1"/>
  <c r="C27" i="1" s="1"/>
  <c r="G31" i="1" s="1"/>
  <c r="D26" i="1"/>
  <c r="D27" i="1" s="1"/>
  <c r="G32" i="1" s="1"/>
  <c r="E26" i="1"/>
  <c r="E27" i="1" s="1"/>
  <c r="G33" i="1" s="1"/>
  <c r="F26" i="1"/>
  <c r="F27" i="1" s="1"/>
  <c r="G34" i="1" s="1"/>
  <c r="G26" i="1"/>
  <c r="G27" i="1" s="1"/>
  <c r="G35" i="1" s="1"/>
  <c r="H35" i="1" s="1"/>
  <c r="F35" i="1"/>
  <c r="D40" i="1"/>
  <c r="E40" i="1" s="1"/>
  <c r="G40" i="1"/>
  <c r="H40" i="1" s="1"/>
  <c r="D41" i="1"/>
  <c r="E41" i="1" s="1"/>
  <c r="G41" i="1"/>
  <c r="H41" i="1"/>
  <c r="D42" i="1"/>
  <c r="E42" i="1"/>
  <c r="G42" i="1"/>
  <c r="H42" i="1"/>
  <c r="D43" i="1"/>
  <c r="E43" i="1" s="1"/>
  <c r="G43" i="1"/>
  <c r="H43" i="1"/>
  <c r="D44" i="1"/>
  <c r="E44" i="1"/>
  <c r="G44" i="1"/>
  <c r="H44" i="1" s="1"/>
  <c r="E31" i="1" l="1"/>
  <c r="E32" i="1"/>
  <c r="E33" i="1"/>
  <c r="H31" i="1"/>
  <c r="H32" i="1"/>
  <c r="H33" i="1"/>
  <c r="H34" i="1"/>
  <c r="E35" i="1"/>
</calcChain>
</file>

<file path=xl/sharedStrings.xml><?xml version="1.0" encoding="utf-8"?>
<sst xmlns="http://schemas.openxmlformats.org/spreadsheetml/2006/main" count="93" uniqueCount="43">
  <si>
    <t>코팅 신발</t>
  </si>
  <si>
    <t>사포질횟수</t>
  </si>
  <si>
    <r>
      <rPr>
        <b/>
        <sz val="11"/>
        <color rgb="FF000000"/>
        <rFont val="Arial"/>
        <family val="2"/>
      </rPr>
      <t>0</t>
    </r>
    <r>
      <rPr>
        <b/>
        <sz val="11"/>
        <color rgb="FF000000"/>
        <rFont val="Noto Sans CJK SC"/>
        <family val="2"/>
      </rPr>
      <t>회</t>
    </r>
  </si>
  <si>
    <r>
      <rPr>
        <b/>
        <sz val="11"/>
        <color rgb="FF000000"/>
        <rFont val="Arial"/>
        <family val="2"/>
      </rPr>
      <t>50</t>
    </r>
    <r>
      <rPr>
        <b/>
        <sz val="11"/>
        <color rgb="FF000000"/>
        <rFont val="Noto Sans CJK SC"/>
        <family val="2"/>
      </rPr>
      <t>회</t>
    </r>
  </si>
  <si>
    <r>
      <rPr>
        <b/>
        <sz val="11"/>
        <color rgb="FF000000"/>
        <rFont val="Arial"/>
        <family val="2"/>
      </rPr>
      <t>100</t>
    </r>
    <r>
      <rPr>
        <b/>
        <sz val="11"/>
        <color rgb="FF000000"/>
        <rFont val="Noto Sans CJK SC"/>
        <family val="2"/>
      </rPr>
      <t>회</t>
    </r>
  </si>
  <si>
    <r>
      <rPr>
        <b/>
        <sz val="11"/>
        <color rgb="FF000000"/>
        <rFont val="Arial"/>
        <family val="2"/>
      </rPr>
      <t>150</t>
    </r>
    <r>
      <rPr>
        <b/>
        <sz val="11"/>
        <color rgb="FF000000"/>
        <rFont val="Noto Sans CJK SC"/>
        <family val="2"/>
      </rPr>
      <t>회</t>
    </r>
  </si>
  <si>
    <r>
      <rPr>
        <b/>
        <sz val="11"/>
        <color rgb="FF000000"/>
        <rFont val="Arial"/>
        <family val="2"/>
      </rPr>
      <t>200</t>
    </r>
    <r>
      <rPr>
        <b/>
        <sz val="11"/>
        <color rgb="FF000000"/>
        <rFont val="Noto Sans CJK SC"/>
        <family val="2"/>
      </rPr>
      <t>회</t>
    </r>
  </si>
  <si>
    <r>
      <rPr>
        <b/>
        <sz val="11"/>
        <color rgb="FF000000"/>
        <rFont val="Noto Sans CJK SC"/>
        <family val="2"/>
      </rPr>
      <t>수막형성</t>
    </r>
    <r>
      <rPr>
        <b/>
        <sz val="11"/>
        <color rgb="FF000000"/>
        <rFont val="Arial"/>
        <family val="2"/>
      </rPr>
      <t>X</t>
    </r>
  </si>
  <si>
    <r>
      <rPr>
        <b/>
        <sz val="11"/>
        <color rgb="FF000000"/>
        <rFont val="Noto Sans CJK SC"/>
        <family val="2"/>
      </rPr>
      <t>평균값</t>
    </r>
    <r>
      <rPr>
        <b/>
        <sz val="11"/>
        <color rgb="FF000000"/>
        <rFont val="Arial"/>
        <family val="2"/>
      </rPr>
      <t>(°)</t>
    </r>
  </si>
  <si>
    <r>
      <rPr>
        <b/>
        <sz val="11"/>
        <color rgb="FF000000"/>
        <rFont val="Noto Sans CJK SC"/>
        <family val="2"/>
      </rPr>
      <t xml:space="preserve">정마찰계수 </t>
    </r>
    <r>
      <rPr>
        <b/>
        <sz val="11"/>
        <color rgb="FF000000"/>
        <rFont val="Arial"/>
        <family val="2"/>
      </rPr>
      <t>μs</t>
    </r>
  </si>
  <si>
    <r>
      <rPr>
        <b/>
        <sz val="11"/>
        <color rgb="FF000000"/>
        <rFont val="Noto Sans CJK SC"/>
        <family val="2"/>
      </rPr>
      <t>수막형성</t>
    </r>
    <r>
      <rPr>
        <b/>
        <sz val="11"/>
        <color rgb="FF000000"/>
        <rFont val="Arial"/>
        <family val="2"/>
      </rPr>
      <t>O</t>
    </r>
  </si>
  <si>
    <r>
      <rPr>
        <b/>
        <sz val="12"/>
        <rFont val="맑은 고딕"/>
        <family val="3"/>
        <charset val="129"/>
      </rPr>
      <t>미코팅</t>
    </r>
    <r>
      <rPr>
        <b/>
        <sz val="12"/>
        <rFont val="Arial"/>
        <family val="2"/>
      </rPr>
      <t xml:space="preserve"> </t>
    </r>
    <r>
      <rPr>
        <b/>
        <sz val="12"/>
        <rFont val="맑은 고딕"/>
        <family val="3"/>
        <charset val="129"/>
      </rPr>
      <t>신발</t>
    </r>
    <phoneticPr fontId="2" type="noConversion"/>
  </si>
  <si>
    <r>
      <rPr>
        <b/>
        <sz val="12"/>
        <rFont val="Noto Sans CJK SC"/>
        <family val="2"/>
      </rPr>
      <t xml:space="preserve">논슬립 개선율 </t>
    </r>
    <r>
      <rPr>
        <b/>
        <sz val="12"/>
        <rFont val="Arial"/>
        <family val="2"/>
      </rPr>
      <t>(</t>
    </r>
    <r>
      <rPr>
        <b/>
        <sz val="12"/>
        <rFont val="Noto Sans CJK SC"/>
        <family val="2"/>
      </rPr>
      <t>같은 사포질 횟수의 미코팅 대비</t>
    </r>
    <r>
      <rPr>
        <b/>
        <sz val="12"/>
        <rFont val="Arial"/>
        <family val="2"/>
      </rPr>
      <t>)</t>
    </r>
  </si>
  <si>
    <r>
      <rPr>
        <b/>
        <sz val="11"/>
        <color rgb="FF000000"/>
        <rFont val="Noto Sans CJK SC"/>
        <family val="2"/>
      </rPr>
      <t xml:space="preserve">미코팅 </t>
    </r>
    <r>
      <rPr>
        <b/>
        <sz val="11"/>
        <color rgb="FF000000"/>
        <rFont val="Arial"/>
        <family val="2"/>
      </rPr>
      <t>Dry μs</t>
    </r>
  </si>
  <si>
    <r>
      <rPr>
        <b/>
        <sz val="11"/>
        <color rgb="FF000000"/>
        <rFont val="Noto Sans CJK SC"/>
        <family val="2"/>
      </rPr>
      <t xml:space="preserve">코팅 </t>
    </r>
    <r>
      <rPr>
        <b/>
        <sz val="11"/>
        <color rgb="FF000000"/>
        <rFont val="Arial"/>
        <family val="2"/>
      </rPr>
      <t>Dry μs</t>
    </r>
  </si>
  <si>
    <r>
      <rPr>
        <b/>
        <sz val="11"/>
        <color rgb="FF000000"/>
        <rFont val="Arial"/>
        <family val="2"/>
      </rPr>
      <t xml:space="preserve">Dry </t>
    </r>
    <r>
      <rPr>
        <b/>
        <sz val="11"/>
        <color rgb="FF000000"/>
        <rFont val="Noto Sans CJK SC"/>
        <family val="2"/>
      </rPr>
      <t>개선율</t>
    </r>
  </si>
  <si>
    <r>
      <rPr>
        <b/>
        <sz val="11"/>
        <color rgb="FF000000"/>
        <rFont val="Noto Sans CJK SC"/>
        <family val="2"/>
      </rPr>
      <t xml:space="preserve">미코팅 </t>
    </r>
    <r>
      <rPr>
        <b/>
        <sz val="11"/>
        <color rgb="FF000000"/>
        <rFont val="Arial"/>
        <family val="2"/>
      </rPr>
      <t>Wet μs</t>
    </r>
  </si>
  <si>
    <r>
      <rPr>
        <b/>
        <sz val="11"/>
        <color rgb="FF000000"/>
        <rFont val="Noto Sans CJK SC"/>
        <family val="2"/>
      </rPr>
      <t xml:space="preserve">코팅 </t>
    </r>
    <r>
      <rPr>
        <b/>
        <sz val="11"/>
        <color rgb="FF000000"/>
        <rFont val="Arial"/>
        <family val="2"/>
      </rPr>
      <t>Wet μs</t>
    </r>
  </si>
  <si>
    <r>
      <rPr>
        <b/>
        <sz val="11"/>
        <color rgb="FF000000"/>
        <rFont val="Arial"/>
        <family val="2"/>
      </rPr>
      <t xml:space="preserve">Wet </t>
    </r>
    <r>
      <rPr>
        <b/>
        <sz val="11"/>
        <color rgb="FF000000"/>
        <rFont val="Noto Sans CJK SC"/>
        <family val="2"/>
      </rPr>
      <t>개선율</t>
    </r>
  </si>
  <si>
    <r>
      <rPr>
        <b/>
        <sz val="12"/>
        <rFont val="Noto Sans CJK SC"/>
        <family val="2"/>
      </rPr>
      <t xml:space="preserve">사포질 횟수별 시편 질량 </t>
    </r>
    <r>
      <rPr>
        <b/>
        <sz val="12"/>
        <rFont val="Arial"/>
        <family val="2"/>
      </rPr>
      <t>(10/26)</t>
    </r>
  </si>
  <si>
    <r>
      <rPr>
        <b/>
        <sz val="11"/>
        <color rgb="FF000000"/>
        <rFont val="Noto Sans CJK SC"/>
        <family val="2"/>
      </rPr>
      <t>미코팅 질량</t>
    </r>
    <r>
      <rPr>
        <b/>
        <sz val="11"/>
        <color rgb="FF000000"/>
        <rFont val="Arial"/>
        <family val="2"/>
      </rPr>
      <t>(g)</t>
    </r>
  </si>
  <si>
    <r>
      <rPr>
        <b/>
        <sz val="11"/>
        <color rgb="FF000000"/>
        <rFont val="Noto Sans CJK SC"/>
        <family val="2"/>
      </rPr>
      <t>미코팅 감소량</t>
    </r>
    <r>
      <rPr>
        <b/>
        <sz val="11"/>
        <color rgb="FF000000"/>
        <rFont val="Arial"/>
        <family val="2"/>
      </rPr>
      <t>(g)</t>
    </r>
  </si>
  <si>
    <t>미코팅 감소율</t>
  </si>
  <si>
    <r>
      <rPr>
        <b/>
        <sz val="11"/>
        <color rgb="FF000000"/>
        <rFont val="Noto Sans CJK SC"/>
        <family val="2"/>
      </rPr>
      <t>코팅 질량</t>
    </r>
    <r>
      <rPr>
        <b/>
        <sz val="11"/>
        <color rgb="FF000000"/>
        <rFont val="Arial"/>
        <family val="2"/>
      </rPr>
      <t>(g)</t>
    </r>
  </si>
  <si>
    <r>
      <rPr>
        <b/>
        <sz val="11"/>
        <color rgb="FF000000"/>
        <rFont val="Noto Sans CJK SC"/>
        <family val="2"/>
      </rPr>
      <t>코팅 감소량</t>
    </r>
    <r>
      <rPr>
        <b/>
        <sz val="11"/>
        <color rgb="FF000000"/>
        <rFont val="Arial"/>
        <family val="2"/>
      </rPr>
      <t>(g)</t>
    </r>
  </si>
  <si>
    <t>코팅 감소율</t>
  </si>
  <si>
    <t>경사각</t>
    <phoneticPr fontId="2" type="noConversion"/>
  </si>
  <si>
    <t>구분</t>
    <phoneticPr fontId="2" type="noConversion"/>
  </si>
  <si>
    <t>0회</t>
    <phoneticPr fontId="2" type="noConversion"/>
  </si>
  <si>
    <t>코팅 신발 동마찰계수</t>
    <phoneticPr fontId="11" type="noConversion"/>
  </si>
  <si>
    <t>50회</t>
    <phoneticPr fontId="2" type="noConversion"/>
  </si>
  <si>
    <t>100회</t>
    <phoneticPr fontId="2" type="noConversion"/>
  </si>
  <si>
    <t>150회</t>
    <phoneticPr fontId="2" type="noConversion"/>
  </si>
  <si>
    <t>200회</t>
    <phoneticPr fontId="2" type="noConversion"/>
  </si>
  <si>
    <t>35°</t>
    <phoneticPr fontId="2" type="noConversion"/>
  </si>
  <si>
    <t>40°</t>
    <phoneticPr fontId="2" type="noConversion"/>
  </si>
  <si>
    <t>45°</t>
    <phoneticPr fontId="2" type="noConversion"/>
  </si>
  <si>
    <t>50°</t>
    <phoneticPr fontId="2" type="noConversion"/>
  </si>
  <si>
    <t>기준값</t>
    <phoneticPr fontId="2" type="noConversion"/>
  </si>
  <si>
    <t>보정값</t>
    <phoneticPr fontId="2" type="noConversion"/>
  </si>
  <si>
    <r>
      <rPr>
        <b/>
        <sz val="11"/>
        <color rgb="FF000000"/>
        <rFont val="맑은 고딕"/>
        <family val="3"/>
        <charset val="129"/>
      </rPr>
      <t>정마찰계수</t>
    </r>
    <r>
      <rPr>
        <b/>
        <sz val="11"/>
        <color rgb="FF000000"/>
        <rFont val="Arial"/>
        <family val="2"/>
      </rPr>
      <t xml:space="preserve"> μs</t>
    </r>
    <phoneticPr fontId="2" type="noConversion"/>
  </si>
  <si>
    <t>-</t>
    <phoneticPr fontId="2" type="noConversion"/>
  </si>
  <si>
    <t>미코팅 신발 동마찰계수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</si>
</sst>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"/>
    <numFmt numFmtId="177" formatCode="0.0%"/>
    <numFmt numFmtId="178" formatCode="0.000"/>
    <numFmt numFmtId="179" formatCode="0.000_);[Red]\(0.000\)"/>
  </numFmts>
  <fonts count="15">
    <font>
      <sz val="11"/>
      <color theme="1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2"/>
      <name val="Noto Sans CJK SC"/>
      <family val="2"/>
    </font>
    <font>
      <b/>
      <sz val="11"/>
      <color rgb="FF000000"/>
      <name val="Noto Sans CJK SC"/>
      <family val="2"/>
    </font>
    <font>
      <b/>
      <sz val="11"/>
      <color rgb="FF000000"/>
      <name val="Arial"/>
      <family val="2"/>
    </font>
    <font>
      <sz val="11"/>
      <color rgb="FF0000FF"/>
      <name val="Arial"/>
      <family val="2"/>
    </font>
    <font>
      <b/>
      <sz val="12"/>
      <name val="맑은 고딕"/>
      <family val="3"/>
      <charset val="129"/>
    </font>
    <font>
      <b/>
      <sz val="12"/>
      <name val="Arial"/>
      <family val="2"/>
    </font>
    <font>
      <b/>
      <sz val="12"/>
      <name val="Noto Sans CJK SC"/>
      <family val="3"/>
      <charset val="129"/>
    </font>
    <font>
      <sz val="11"/>
      <color rgb="FF000000"/>
      <name val="Arial"/>
      <family val="2"/>
    </font>
    <font>
      <sz val="8"/>
      <name val="돋움"/>
      <family val="3"/>
      <charset val="129"/>
    </font>
    <font>
      <b/>
      <sz val="11"/>
      <color theme="1"/>
      <name val="맑은 고딕"/>
      <family val="2"/>
      <charset val="129"/>
      <scheme val="minor"/>
    </font>
    <font>
      <b/>
      <sz val="11"/>
      <color rgb="FF000000"/>
      <name val="맑은 고딕"/>
      <family val="3"/>
      <charset val="129"/>
    </font>
    <font>
      <b/>
      <sz val="11"/>
      <color rgb="FF000000"/>
      <name val="Noto Sans CJK SC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D9E1F2"/>
        <bgColor rgb="FFF2F2F2"/>
      </patternFill>
    </fill>
    <fill>
      <patternFill patternType="solid">
        <fgColor rgb="FFF2F2F2"/>
        <bgColor rgb="FFFFFFFF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30">
    <xf numFmtId="0" fontId="0" fillId="0" borderId="0" xfId="0">
      <alignment vertical="center"/>
    </xf>
    <xf numFmtId="0" fontId="3" fillId="0" borderId="0" xfId="0" applyFont="1" applyAlignment="1"/>
    <xf numFmtId="0" fontId="0" fillId="0" borderId="0" xfId="0" applyAlignment="1"/>
    <xf numFmtId="0" fontId="4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176" fontId="6" fillId="0" borderId="1" xfId="0" applyNumberFormat="1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176" fontId="5" fillId="3" borderId="1" xfId="0" applyNumberFormat="1" applyFont="1" applyFill="1" applyBorder="1" applyAlignment="1">
      <alignment horizontal="center" vertical="center" wrapText="1"/>
    </xf>
    <xf numFmtId="2" fontId="5" fillId="3" borderId="1" xfId="0" applyNumberFormat="1" applyFont="1" applyFill="1" applyBorder="1" applyAlignment="1">
      <alignment horizontal="center" vertical="center" wrapText="1"/>
    </xf>
    <xf numFmtId="0" fontId="9" fillId="0" borderId="0" xfId="0" applyFont="1" applyAlignment="1"/>
    <xf numFmtId="0" fontId="1" fillId="0" borderId="0" xfId="0" applyFont="1" applyAlignment="1"/>
    <xf numFmtId="176" fontId="6" fillId="0" borderId="2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2" fontId="10" fillId="0" borderId="1" xfId="0" applyNumberFormat="1" applyFont="1" applyBorder="1" applyAlignment="1">
      <alignment horizontal="center" vertical="center" wrapText="1"/>
    </xf>
    <xf numFmtId="177" fontId="10" fillId="0" borderId="1" xfId="0" applyNumberFormat="1" applyFont="1" applyBorder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2" fontId="5" fillId="3" borderId="0" xfId="0" applyNumberFormat="1" applyFont="1" applyFill="1" applyAlignment="1">
      <alignment horizontal="center" vertical="center" wrapText="1"/>
    </xf>
    <xf numFmtId="178" fontId="6" fillId="0" borderId="1" xfId="0" applyNumberFormat="1" applyFont="1" applyBorder="1" applyAlignment="1">
      <alignment horizontal="center" vertical="center" wrapText="1"/>
    </xf>
    <xf numFmtId="178" fontId="10" fillId="0" borderId="1" xfId="0" applyNumberFormat="1" applyFont="1" applyBorder="1" applyAlignment="1">
      <alignment horizontal="center" vertical="center" wrapText="1"/>
    </xf>
    <xf numFmtId="10" fontId="10" fillId="0" borderId="1" xfId="0" applyNumberFormat="1" applyFont="1" applyBorder="1" applyAlignment="1">
      <alignment horizontal="center" vertical="center" wrapText="1"/>
    </xf>
    <xf numFmtId="0" fontId="7" fillId="0" borderId="0" xfId="0" applyFont="1" applyAlignment="1"/>
    <xf numFmtId="0" fontId="14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78" fontId="5" fillId="3" borderId="1" xfId="0" applyNumberFormat="1" applyFont="1" applyFill="1" applyBorder="1" applyAlignment="1">
      <alignment horizontal="center" vertical="center" wrapText="1"/>
    </xf>
    <xf numFmtId="179" fontId="0" fillId="0" borderId="1" xfId="0" applyNumberFormat="1" applyBorder="1" applyAlignment="1">
      <alignment horizontal="center" vertical="center"/>
    </xf>
    <xf numFmtId="179" fontId="5" fillId="3" borderId="1" xfId="0" applyNumberFormat="1" applyFont="1" applyFill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A57A08-0206-4C33-946C-0E628DD87D99}">
  <dimension ref="B2:J68"/>
  <sheetViews>
    <sheetView tabSelected="1" topLeftCell="A40" zoomScale="90" zoomScaleNormal="90" workbookViewId="0">
      <selection activeCell="H69" sqref="H69"/>
    </sheetView>
  </sheetViews>
  <sheetFormatPr defaultRowHeight="16.5"/>
  <cols>
    <col min="1" max="1" width="8.75" customWidth="1"/>
    <col min="2" max="6" width="16.5" customWidth="1"/>
    <col min="7" max="8" width="15.75" customWidth="1"/>
  </cols>
  <sheetData>
    <row r="2" spans="2:7" ht="17.25">
      <c r="B2" s="9" t="s">
        <v>11</v>
      </c>
      <c r="C2" s="10"/>
      <c r="D2" s="2"/>
      <c r="F2" s="2"/>
      <c r="G2" s="2"/>
    </row>
    <row r="3" spans="2:7">
      <c r="B3" s="3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</row>
    <row r="4" spans="2:7">
      <c r="B4" s="29" t="s">
        <v>7</v>
      </c>
      <c r="C4" s="5">
        <v>38.1</v>
      </c>
      <c r="D4" s="5">
        <v>37.200000000000003</v>
      </c>
      <c r="E4" s="5">
        <v>32.9</v>
      </c>
      <c r="F4" s="5">
        <v>33.1</v>
      </c>
      <c r="G4" s="5">
        <v>27.3</v>
      </c>
    </row>
    <row r="5" spans="2:7">
      <c r="B5" s="29"/>
      <c r="C5" s="5">
        <v>36.9</v>
      </c>
      <c r="D5" s="5">
        <v>38.700000000000003</v>
      </c>
      <c r="E5" s="5">
        <v>37.200000000000003</v>
      </c>
      <c r="F5" s="5">
        <v>31.9</v>
      </c>
      <c r="G5" s="5">
        <v>31.7</v>
      </c>
    </row>
    <row r="6" spans="2:7">
      <c r="B6" s="29"/>
      <c r="C6" s="5">
        <v>49.8</v>
      </c>
      <c r="D6" s="5">
        <v>39</v>
      </c>
      <c r="E6" s="5">
        <v>34.9</v>
      </c>
      <c r="F6" s="5">
        <v>29.3</v>
      </c>
      <c r="G6" s="5">
        <v>30.8</v>
      </c>
    </row>
    <row r="7" spans="2:7">
      <c r="B7" s="6" t="s">
        <v>8</v>
      </c>
      <c r="C7" s="7">
        <f>AVERAGE(C4:C6)</f>
        <v>41.6</v>
      </c>
      <c r="D7" s="7">
        <f t="shared" ref="D7:E7" si="0">AVERAGE(D4:D6)</f>
        <v>38.300000000000004</v>
      </c>
      <c r="E7" s="7">
        <f t="shared" si="0"/>
        <v>35</v>
      </c>
      <c r="F7" s="7">
        <f t="shared" ref="F7" si="1">AVERAGE(F4:F6)</f>
        <v>31.433333333333334</v>
      </c>
      <c r="G7" s="7">
        <f>AVERAGE(G4:G6)</f>
        <v>29.933333333333334</v>
      </c>
    </row>
    <row r="8" spans="2:7">
      <c r="B8" s="6" t="s">
        <v>9</v>
      </c>
      <c r="C8" s="8">
        <f>TAN(RADIANS(C7))</f>
        <v>0.88784154585046382</v>
      </c>
      <c r="D8" s="8">
        <f t="shared" ref="D8:E8" si="2">TAN(RADIANS(D7))</f>
        <v>0.78975241236447613</v>
      </c>
      <c r="E8" s="8">
        <f t="shared" si="2"/>
        <v>0.70020753820970971</v>
      </c>
      <c r="F8" s="8">
        <f t="shared" ref="F8" si="3">TAN(RADIANS(F7))</f>
        <v>0.61120143201371191</v>
      </c>
      <c r="G8" s="8">
        <f>TAN(RADIANS(G7))</f>
        <v>0.57579990620945198</v>
      </c>
    </row>
    <row r="9" spans="2:7">
      <c r="B9" s="29" t="s">
        <v>10</v>
      </c>
      <c r="C9" s="5">
        <v>36.200000000000003</v>
      </c>
      <c r="D9" s="5">
        <v>35.4</v>
      </c>
      <c r="E9" s="5">
        <v>32.1</v>
      </c>
      <c r="F9" s="5">
        <v>30.5</v>
      </c>
      <c r="G9" s="5">
        <v>29.1</v>
      </c>
    </row>
    <row r="10" spans="2:7">
      <c r="B10" s="29"/>
      <c r="C10" s="5">
        <v>39.200000000000003</v>
      </c>
      <c r="D10" s="5">
        <v>35.700000000000003</v>
      </c>
      <c r="E10" s="5">
        <v>35.700000000000003</v>
      </c>
      <c r="F10" s="5">
        <v>32.1</v>
      </c>
      <c r="G10" s="5">
        <v>30.5</v>
      </c>
    </row>
    <row r="11" spans="2:7">
      <c r="B11" s="29"/>
      <c r="C11" s="5">
        <v>41.1</v>
      </c>
      <c r="D11" s="5">
        <v>33.1</v>
      </c>
      <c r="E11" s="5">
        <v>32.4</v>
      </c>
      <c r="F11" s="5">
        <v>30.4</v>
      </c>
      <c r="G11" s="5">
        <v>31.3</v>
      </c>
    </row>
    <row r="12" spans="2:7">
      <c r="B12" s="6" t="s">
        <v>8</v>
      </c>
      <c r="C12" s="7">
        <f>AVERAGE(C9:C11)</f>
        <v>38.833333333333336</v>
      </c>
      <c r="D12" s="7">
        <f>AVERAGE(D9:D11)</f>
        <v>34.733333333333327</v>
      </c>
      <c r="E12" s="7">
        <f>AVERAGE(E9:E11)</f>
        <v>33.400000000000006</v>
      </c>
      <c r="F12" s="7">
        <f t="shared" ref="F12" si="4">AVERAGE(F9:F11)</f>
        <v>31</v>
      </c>
      <c r="G12" s="7">
        <f t="shared" ref="G12" si="5">AVERAGE(G9:G11)</f>
        <v>30.3</v>
      </c>
    </row>
    <row r="13" spans="2:7">
      <c r="B13" s="6" t="s">
        <v>9</v>
      </c>
      <c r="C13" s="8">
        <f>TAN(RADIANS(C12))</f>
        <v>0.8049789562794305</v>
      </c>
      <c r="D13" s="8">
        <f>TAN(RADIANS(D12))</f>
        <v>0.69329389187470025</v>
      </c>
      <c r="E13" s="8">
        <f>TAN(RADIANS(E12))</f>
        <v>0.6593785099157774</v>
      </c>
      <c r="F13" s="8">
        <f t="shared" ref="F13" si="6">TAN(RADIANS(F12))</f>
        <v>0.60086061902756038</v>
      </c>
      <c r="G13" s="8">
        <f t="shared" ref="G13" si="7">TAN(RADIANS(G12))</f>
        <v>0.58435281889100599</v>
      </c>
    </row>
    <row r="14" spans="2:7">
      <c r="B14" s="15"/>
      <c r="C14" s="16"/>
      <c r="D14" s="16"/>
      <c r="E14" s="16"/>
      <c r="F14" s="16"/>
      <c r="G14" s="16"/>
    </row>
    <row r="16" spans="2:7" ht="15" customHeight="1">
      <c r="B16" s="1" t="s">
        <v>0</v>
      </c>
      <c r="C16" s="2"/>
      <c r="D16" s="2"/>
      <c r="E16" s="2"/>
      <c r="F16" s="2"/>
      <c r="G16" s="2"/>
    </row>
    <row r="17" spans="2:8" ht="15" customHeight="1">
      <c r="B17" s="3" t="s">
        <v>1</v>
      </c>
      <c r="C17" s="4" t="s">
        <v>2</v>
      </c>
      <c r="D17" s="4" t="s">
        <v>3</v>
      </c>
      <c r="E17" s="4" t="s">
        <v>4</v>
      </c>
      <c r="F17" s="4" t="s">
        <v>5</v>
      </c>
      <c r="G17" s="4" t="s">
        <v>6</v>
      </c>
    </row>
    <row r="18" spans="2:8" ht="15" customHeight="1">
      <c r="B18" s="29" t="s">
        <v>7</v>
      </c>
      <c r="C18" s="5">
        <v>32.5</v>
      </c>
      <c r="D18" s="5">
        <v>34.6</v>
      </c>
      <c r="E18" s="5">
        <v>41.7</v>
      </c>
      <c r="F18" s="5">
        <v>41.4</v>
      </c>
      <c r="G18" s="5">
        <v>53.5</v>
      </c>
    </row>
    <row r="19" spans="2:8" ht="15" customHeight="1">
      <c r="B19" s="29"/>
      <c r="C19" s="5">
        <v>34.9</v>
      </c>
      <c r="D19" s="5">
        <v>36.9</v>
      </c>
      <c r="E19" s="5">
        <v>38.299999999999997</v>
      </c>
      <c r="F19" s="5">
        <v>43.5</v>
      </c>
      <c r="G19" s="5">
        <v>59.2</v>
      </c>
    </row>
    <row r="20" spans="2:8" ht="15" customHeight="1">
      <c r="B20" s="29"/>
      <c r="C20" s="5">
        <v>33</v>
      </c>
      <c r="D20" s="5">
        <v>34.4</v>
      </c>
      <c r="E20" s="5">
        <v>37.5</v>
      </c>
      <c r="F20" s="5">
        <v>45.7</v>
      </c>
      <c r="G20" s="5">
        <v>60.1</v>
      </c>
    </row>
    <row r="21" spans="2:8" ht="15" customHeight="1">
      <c r="B21" s="6" t="s">
        <v>8</v>
      </c>
      <c r="C21" s="7">
        <f>AVERAGE(C18:C20)</f>
        <v>33.466666666666669</v>
      </c>
      <c r="D21" s="7">
        <f>AVERAGE(D18:D20)</f>
        <v>35.300000000000004</v>
      </c>
      <c r="E21" s="7">
        <f>AVERAGE(E18:E20)</f>
        <v>39.166666666666664</v>
      </c>
      <c r="F21" s="7">
        <f>AVERAGE(F18:F20)</f>
        <v>43.533333333333339</v>
      </c>
      <c r="G21" s="7">
        <f>AVERAGE(G18:G20)</f>
        <v>57.6</v>
      </c>
    </row>
    <row r="22" spans="2:8" ht="15" customHeight="1">
      <c r="B22" s="21" t="s">
        <v>40</v>
      </c>
      <c r="C22" s="8">
        <f>TAN(RADIANS(C21))</f>
        <v>0.66104923484484746</v>
      </c>
      <c r="D22" s="8">
        <f>TAN(RADIANS(D21))</f>
        <v>0.7080394671280229</v>
      </c>
      <c r="E22" s="8">
        <f>TAN(RADIANS(E21))</f>
        <v>0.81461180097862462</v>
      </c>
      <c r="F22" s="8">
        <f>TAN(RADIANS(F21))</f>
        <v>0.95007086332512658</v>
      </c>
      <c r="G22" s="8">
        <f>TAN(RADIANS(G21))</f>
        <v>1.5757478599686512</v>
      </c>
    </row>
    <row r="23" spans="2:8" ht="15" customHeight="1">
      <c r="B23" s="29" t="s">
        <v>10</v>
      </c>
      <c r="C23" s="5">
        <v>29.7</v>
      </c>
      <c r="D23" s="5">
        <v>33.9</v>
      </c>
      <c r="E23" s="5">
        <v>39.4</v>
      </c>
      <c r="F23" s="5">
        <v>44.9</v>
      </c>
      <c r="G23" s="5">
        <v>45.7</v>
      </c>
    </row>
    <row r="24" spans="2:8" ht="15" customHeight="1">
      <c r="B24" s="29"/>
      <c r="C24" s="5">
        <v>30.9</v>
      </c>
      <c r="D24" s="5">
        <v>33.9</v>
      </c>
      <c r="E24" s="5">
        <v>39.6</v>
      </c>
      <c r="F24" s="5">
        <v>45.4</v>
      </c>
      <c r="G24" s="5">
        <v>46.9</v>
      </c>
    </row>
    <row r="25" spans="2:8" ht="15" customHeight="1">
      <c r="B25" s="29"/>
      <c r="C25" s="11">
        <v>30.2</v>
      </c>
      <c r="D25" s="5">
        <v>35.299999999999997</v>
      </c>
      <c r="E25" s="5">
        <v>44.5</v>
      </c>
      <c r="F25" s="5">
        <v>46.4</v>
      </c>
      <c r="G25" s="5">
        <v>49.9</v>
      </c>
    </row>
    <row r="26" spans="2:8" ht="15" customHeight="1">
      <c r="B26" s="6" t="s">
        <v>8</v>
      </c>
      <c r="C26" s="7">
        <f>AVERAGE(C23:C25)</f>
        <v>30.266666666666666</v>
      </c>
      <c r="D26" s="7">
        <f>AVERAGE(D23:D25)</f>
        <v>34.366666666666667</v>
      </c>
      <c r="E26" s="7">
        <f>AVERAGE(E23:E25)</f>
        <v>41.166666666666664</v>
      </c>
      <c r="F26" s="7">
        <f>AVERAGE(F23:F25)</f>
        <v>45.566666666666663</v>
      </c>
      <c r="G26" s="7">
        <f>AVERAGE(G23:G25)</f>
        <v>47.5</v>
      </c>
    </row>
    <row r="27" spans="2:8" ht="15" customHeight="1">
      <c r="B27" s="6" t="s">
        <v>9</v>
      </c>
      <c r="C27" s="8">
        <f>TAN(RADIANS(C26))</f>
        <v>0.58357264945826615</v>
      </c>
      <c r="D27" s="8">
        <f>TAN(RADIANS(D26))</f>
        <v>0.68386009772941947</v>
      </c>
      <c r="E27" s="8">
        <f>TAN(RADIANS(E26))</f>
        <v>0.87440670514967134</v>
      </c>
      <c r="F27" s="8">
        <f>TAN(RADIANS(F26))</f>
        <v>1.0199786423545918</v>
      </c>
      <c r="G27" s="8">
        <f>TAN(RADIANS(G26))</f>
        <v>1.0913085010692714</v>
      </c>
    </row>
    <row r="29" spans="2:8">
      <c r="B29" s="1" t="s">
        <v>12</v>
      </c>
      <c r="C29" s="2"/>
      <c r="D29" s="2"/>
      <c r="E29" s="2"/>
      <c r="F29" s="2"/>
      <c r="G29" s="2"/>
      <c r="H29" s="2"/>
    </row>
    <row r="30" spans="2:8">
      <c r="B30" s="3" t="s">
        <v>1</v>
      </c>
      <c r="C30" s="3" t="s">
        <v>13</v>
      </c>
      <c r="D30" s="3" t="s">
        <v>14</v>
      </c>
      <c r="E30" s="4" t="s">
        <v>15</v>
      </c>
      <c r="F30" s="3" t="s">
        <v>16</v>
      </c>
      <c r="G30" s="3" t="s">
        <v>17</v>
      </c>
      <c r="H30" s="4" t="s">
        <v>18</v>
      </c>
    </row>
    <row r="31" spans="2:8">
      <c r="B31" s="12" t="s">
        <v>2</v>
      </c>
      <c r="C31" s="13">
        <f>C8</f>
        <v>0.88784154585046382</v>
      </c>
      <c r="D31" s="13">
        <f>C22</f>
        <v>0.66104923484484746</v>
      </c>
      <c r="E31" s="14">
        <f>(D31-C31)/C31</f>
        <v>-0.25544232759278224</v>
      </c>
      <c r="F31" s="13">
        <f>C13</f>
        <v>0.8049789562794305</v>
      </c>
      <c r="G31" s="13">
        <f>C27</f>
        <v>0.58357264945826615</v>
      </c>
      <c r="H31" s="14">
        <f>(G31-F31)/F31</f>
        <v>-0.27504608051431856</v>
      </c>
    </row>
    <row r="32" spans="2:8">
      <c r="B32" s="12" t="s">
        <v>3</v>
      </c>
      <c r="C32" s="13">
        <f>D8</f>
        <v>0.78975241236447613</v>
      </c>
      <c r="D32" s="13">
        <f>D22</f>
        <v>0.7080394671280229</v>
      </c>
      <c r="E32" s="14">
        <f>(D32-C32)/C32</f>
        <v>-0.10346653452036832</v>
      </c>
      <c r="F32" s="13">
        <f>D13</f>
        <v>0.69329389187470025</v>
      </c>
      <c r="G32" s="13">
        <f>D27</f>
        <v>0.68386009772941947</v>
      </c>
      <c r="H32" s="14">
        <f>(G32-F32)/F32</f>
        <v>-1.3607207932802273E-2</v>
      </c>
    </row>
    <row r="33" spans="2:10">
      <c r="B33" s="12" t="s">
        <v>4</v>
      </c>
      <c r="C33" s="13">
        <f>E8</f>
        <v>0.70020753820970971</v>
      </c>
      <c r="D33" s="13">
        <f>E22</f>
        <v>0.81461180097862462</v>
      </c>
      <c r="E33" s="14">
        <f>(D33-C33)/C33</f>
        <v>0.16338621983622695</v>
      </c>
      <c r="F33" s="13">
        <f>E13</f>
        <v>0.6593785099157774</v>
      </c>
      <c r="G33" s="13">
        <f>E27</f>
        <v>0.87440670514967134</v>
      </c>
      <c r="H33" s="14">
        <f>(G33-F33)/F33</f>
        <v>0.32610737535464956</v>
      </c>
    </row>
    <row r="34" spans="2:10">
      <c r="B34" s="12" t="s">
        <v>5</v>
      </c>
      <c r="C34" s="13">
        <f>F8</f>
        <v>0.61120143201371191</v>
      </c>
      <c r="D34" s="13">
        <f>F22</f>
        <v>0.95007086332512658</v>
      </c>
      <c r="E34" s="14">
        <f>(D34-C34)/C34</f>
        <v>0.55443167106946889</v>
      </c>
      <c r="F34" s="13">
        <f>F13</f>
        <v>0.60086061902756038</v>
      </c>
      <c r="G34" s="13">
        <f>F27</f>
        <v>1.0199786423545918</v>
      </c>
      <c r="H34" s="14">
        <f>(G34-F34)/F34</f>
        <v>0.69752952690648418</v>
      </c>
    </row>
    <row r="35" spans="2:10">
      <c r="B35" s="12" t="s">
        <v>6</v>
      </c>
      <c r="C35" s="13">
        <f>G8</f>
        <v>0.57579990620945198</v>
      </c>
      <c r="D35" s="13">
        <f>G22</f>
        <v>1.5757478599686512</v>
      </c>
      <c r="E35" s="14">
        <f>(D35-C35)/C35</f>
        <v>1.7366240302850273</v>
      </c>
      <c r="F35" s="13">
        <f>G13</f>
        <v>0.58435281889100599</v>
      </c>
      <c r="G35" s="13">
        <f>G27</f>
        <v>1.0913085010692714</v>
      </c>
      <c r="H35" s="14">
        <f>(G35-F35)/F35</f>
        <v>0.86755067450581291</v>
      </c>
    </row>
    <row r="38" spans="2:10">
      <c r="B38" s="1" t="s">
        <v>19</v>
      </c>
      <c r="C38" s="2"/>
      <c r="D38" s="2"/>
      <c r="E38" s="2"/>
      <c r="F38" s="2"/>
      <c r="G38" s="2"/>
      <c r="H38" s="2"/>
    </row>
    <row r="39" spans="2:10">
      <c r="B39" s="3" t="s">
        <v>1</v>
      </c>
      <c r="C39" s="3" t="s">
        <v>20</v>
      </c>
      <c r="D39" s="3" t="s">
        <v>21</v>
      </c>
      <c r="E39" s="3" t="s">
        <v>22</v>
      </c>
      <c r="F39" s="3" t="s">
        <v>23</v>
      </c>
      <c r="G39" s="3" t="s">
        <v>24</v>
      </c>
      <c r="H39" s="3" t="s">
        <v>25</v>
      </c>
    </row>
    <row r="40" spans="2:10">
      <c r="B40" s="12" t="s">
        <v>2</v>
      </c>
      <c r="C40" s="17">
        <v>76.671999999999997</v>
      </c>
      <c r="D40" s="18">
        <f>$C$40-C40</f>
        <v>0</v>
      </c>
      <c r="E40" s="19">
        <f>D40/$C$40</f>
        <v>0</v>
      </c>
      <c r="F40" s="17">
        <v>76.263999999999996</v>
      </c>
      <c r="G40" s="18">
        <f>$F$40-F40</f>
        <v>0</v>
      </c>
      <c r="H40" s="19">
        <f>G40/$F$40</f>
        <v>0</v>
      </c>
    </row>
    <row r="41" spans="2:10">
      <c r="B41" s="12" t="s">
        <v>3</v>
      </c>
      <c r="C41" s="17">
        <v>76.674000000000007</v>
      </c>
      <c r="D41" s="18">
        <f t="shared" ref="D41:D44" si="8">$C$40-C41</f>
        <v>-2.0000000000095497E-3</v>
      </c>
      <c r="E41" s="19">
        <f>D41/$C$40</f>
        <v>-2.6085141903296505E-5</v>
      </c>
      <c r="F41" s="17">
        <v>76.168999999999997</v>
      </c>
      <c r="G41" s="18">
        <f t="shared" ref="G41:G44" si="9">$F$40-F41</f>
        <v>9.4999999999998863E-2</v>
      </c>
      <c r="H41" s="19">
        <f t="shared" ref="H41:H44" si="10">G41/$F$40</f>
        <v>1.2456729256267553E-3</v>
      </c>
    </row>
    <row r="42" spans="2:10">
      <c r="B42" s="12" t="s">
        <v>4</v>
      </c>
      <c r="C42" s="17">
        <v>76.638000000000005</v>
      </c>
      <c r="D42" s="18">
        <f t="shared" si="8"/>
        <v>3.3999999999991815E-2</v>
      </c>
      <c r="E42" s="19">
        <f>D42/$C$40</f>
        <v>4.4344741235381648E-4</v>
      </c>
      <c r="F42" s="17">
        <v>76.105000000000004</v>
      </c>
      <c r="G42" s="18">
        <f t="shared" si="9"/>
        <v>0.15899999999999181</v>
      </c>
      <c r="H42" s="19">
        <f t="shared" si="10"/>
        <v>2.0848631071015396E-3</v>
      </c>
    </row>
    <row r="43" spans="2:10">
      <c r="B43" s="12" t="s">
        <v>5</v>
      </c>
      <c r="C43" s="17">
        <v>76.600999999999999</v>
      </c>
      <c r="D43" s="18">
        <f t="shared" si="8"/>
        <v>7.0999999999997954E-2</v>
      </c>
      <c r="E43" s="19">
        <f>D43/$C$40</f>
        <v>9.2602253756257765E-4</v>
      </c>
      <c r="F43" s="17">
        <v>75.942999999999998</v>
      </c>
      <c r="G43" s="18">
        <f t="shared" si="9"/>
        <v>0.32099999999999795</v>
      </c>
      <c r="H43" s="19">
        <f t="shared" si="10"/>
        <v>4.2090632539599025E-3</v>
      </c>
    </row>
    <row r="44" spans="2:10">
      <c r="B44" s="12" t="s">
        <v>6</v>
      </c>
      <c r="C44" s="17">
        <v>77.028000000000006</v>
      </c>
      <c r="D44" s="18">
        <f t="shared" si="8"/>
        <v>-0.35600000000000875</v>
      </c>
      <c r="E44" s="19">
        <f>D44/$C$40</f>
        <v>-4.6431552587647218E-3</v>
      </c>
      <c r="F44" s="17">
        <v>77.191000000000003</v>
      </c>
      <c r="G44" s="18">
        <f t="shared" si="9"/>
        <v>-0.92700000000000671</v>
      </c>
      <c r="H44" s="19">
        <f t="shared" si="10"/>
        <v>-1.2155145284800257E-2</v>
      </c>
    </row>
    <row r="47" spans="2:10" ht="17.25">
      <c r="B47" s="20" t="s">
        <v>29</v>
      </c>
      <c r="C47" s="2"/>
      <c r="D47" s="2"/>
      <c r="E47" s="2"/>
      <c r="F47" s="2"/>
      <c r="G47" s="2"/>
      <c r="H47" s="2"/>
      <c r="I47" s="2"/>
      <c r="J47" s="2"/>
    </row>
    <row r="48" spans="2:10">
      <c r="B48" s="3" t="s">
        <v>26</v>
      </c>
      <c r="C48" s="3" t="s">
        <v>27</v>
      </c>
      <c r="D48" s="3" t="s">
        <v>28</v>
      </c>
      <c r="E48" s="3" t="s">
        <v>30</v>
      </c>
      <c r="F48" s="3" t="s">
        <v>31</v>
      </c>
      <c r="G48" s="3" t="s">
        <v>32</v>
      </c>
      <c r="H48" s="3" t="s">
        <v>33</v>
      </c>
    </row>
    <row r="49" spans="2:8">
      <c r="B49" s="26" t="s">
        <v>34</v>
      </c>
      <c r="C49" s="22" t="s">
        <v>38</v>
      </c>
      <c r="D49" s="24"/>
      <c r="E49" s="24">
        <v>0.7</v>
      </c>
      <c r="F49" s="24"/>
      <c r="G49" s="24"/>
      <c r="H49" s="24"/>
    </row>
    <row r="50" spans="2:8">
      <c r="B50" s="27"/>
      <c r="C50" s="23" t="s">
        <v>39</v>
      </c>
      <c r="D50" s="25"/>
      <c r="E50" s="25">
        <v>0.7</v>
      </c>
      <c r="F50" s="25"/>
      <c r="G50" s="25"/>
      <c r="H50" s="25"/>
    </row>
    <row r="51" spans="2:8">
      <c r="B51" s="26" t="s">
        <v>35</v>
      </c>
      <c r="C51" s="22" t="s">
        <v>38</v>
      </c>
      <c r="D51" s="24">
        <v>0.83399999999999996</v>
      </c>
      <c r="E51" s="24">
        <v>0.83399999999999996</v>
      </c>
      <c r="F51" s="24">
        <v>0.83499999999999996</v>
      </c>
      <c r="G51" s="24">
        <v>0.83499999999999996</v>
      </c>
      <c r="H51" s="24">
        <v>0.83299999999999996</v>
      </c>
    </row>
    <row r="52" spans="2:8">
      <c r="B52" s="27"/>
      <c r="C52" s="8" t="s">
        <v>39</v>
      </c>
      <c r="D52" s="25">
        <v>0.66400000000000003</v>
      </c>
      <c r="E52" s="25">
        <v>0.50700000000000001</v>
      </c>
      <c r="F52" s="25">
        <v>0.61</v>
      </c>
      <c r="G52" s="25">
        <v>0.55000000000000004</v>
      </c>
      <c r="H52" s="25">
        <v>0.46400000000000002</v>
      </c>
    </row>
    <row r="53" spans="2:8">
      <c r="B53" s="26" t="s">
        <v>36</v>
      </c>
      <c r="C53" s="22" t="s">
        <v>38</v>
      </c>
      <c r="D53" s="24">
        <v>0.99399999999999999</v>
      </c>
      <c r="E53" s="24">
        <v>0.99299999999999999</v>
      </c>
      <c r="F53" s="24">
        <v>0.98899999999999999</v>
      </c>
      <c r="G53" s="24">
        <v>0.99299999999999999</v>
      </c>
      <c r="H53" s="24">
        <v>0.99</v>
      </c>
    </row>
    <row r="54" spans="2:8">
      <c r="B54" s="27"/>
      <c r="C54" s="8" t="s">
        <v>39</v>
      </c>
      <c r="D54" s="25">
        <v>0.53900000000000003</v>
      </c>
      <c r="E54" s="25">
        <v>0.57799999999999996</v>
      </c>
      <c r="F54" s="25">
        <v>0.5</v>
      </c>
      <c r="G54" s="25">
        <v>0.54</v>
      </c>
      <c r="H54" s="25">
        <v>0.63100000000000001</v>
      </c>
    </row>
    <row r="55" spans="2:8">
      <c r="B55" s="28" t="s">
        <v>37</v>
      </c>
      <c r="C55" s="22" t="s">
        <v>38</v>
      </c>
      <c r="D55" s="24">
        <v>1.18</v>
      </c>
      <c r="E55" s="24">
        <v>1.1839999999999999</v>
      </c>
      <c r="F55" s="24">
        <v>1.161</v>
      </c>
      <c r="G55" s="24">
        <v>1.181</v>
      </c>
      <c r="H55" s="24">
        <v>1.18</v>
      </c>
    </row>
    <row r="56" spans="2:8">
      <c r="B56" s="28"/>
      <c r="C56" s="8" t="s">
        <v>39</v>
      </c>
      <c r="D56" s="25">
        <v>0.497</v>
      </c>
      <c r="E56" s="25">
        <v>0.70899999999999996</v>
      </c>
      <c r="F56" s="25" t="s">
        <v>41</v>
      </c>
      <c r="G56" s="25">
        <v>0.498</v>
      </c>
      <c r="H56" s="25">
        <v>0.42</v>
      </c>
    </row>
    <row r="59" spans="2:8" ht="17.25">
      <c r="B59" s="20" t="s">
        <v>42</v>
      </c>
      <c r="C59" s="2"/>
      <c r="D59" s="2"/>
      <c r="E59" s="2"/>
      <c r="F59" s="2"/>
      <c r="G59" s="2"/>
      <c r="H59" s="2"/>
    </row>
    <row r="60" spans="2:8">
      <c r="B60" s="3" t="s">
        <v>26</v>
      </c>
      <c r="C60" s="3" t="s">
        <v>27</v>
      </c>
      <c r="D60" s="3" t="s">
        <v>28</v>
      </c>
      <c r="E60" s="3" t="s">
        <v>30</v>
      </c>
      <c r="F60" s="3" t="s">
        <v>31</v>
      </c>
      <c r="G60" s="3" t="s">
        <v>32</v>
      </c>
      <c r="H60" s="3" t="s">
        <v>33</v>
      </c>
    </row>
    <row r="61" spans="2:8">
      <c r="B61" s="26" t="s">
        <v>34</v>
      </c>
      <c r="C61" s="22" t="s">
        <v>38</v>
      </c>
      <c r="D61" s="24">
        <v>0.70020000000000004</v>
      </c>
      <c r="E61" s="24">
        <v>0.69699999999999995</v>
      </c>
      <c r="F61" s="24"/>
      <c r="G61" s="24">
        <v>0.69599999999999995</v>
      </c>
      <c r="H61" s="24"/>
    </row>
    <row r="62" spans="2:8">
      <c r="B62" s="27"/>
      <c r="C62" s="8" t="s">
        <v>39</v>
      </c>
      <c r="D62" s="25">
        <v>0.70020000000000004</v>
      </c>
      <c r="E62" s="25">
        <v>0.46300000000000002</v>
      </c>
      <c r="F62" s="25"/>
      <c r="G62" s="25">
        <v>0.441</v>
      </c>
      <c r="H62" s="25"/>
    </row>
    <row r="63" spans="2:8">
      <c r="B63" s="26" t="s">
        <v>35</v>
      </c>
      <c r="C63" s="22" t="s">
        <v>38</v>
      </c>
      <c r="D63" s="24">
        <v>0.83199999999999996</v>
      </c>
      <c r="E63" s="24">
        <v>0.83399999999999996</v>
      </c>
      <c r="F63" s="24">
        <v>0.83299999999999996</v>
      </c>
      <c r="G63" s="24">
        <v>0.83299999999999996</v>
      </c>
      <c r="H63" s="24"/>
    </row>
    <row r="64" spans="2:8">
      <c r="B64" s="27"/>
      <c r="C64" s="8" t="s">
        <v>39</v>
      </c>
      <c r="D64" s="25">
        <v>0.36599999999999999</v>
      </c>
      <c r="E64" s="25">
        <v>0.48099999999999998</v>
      </c>
      <c r="F64" s="25">
        <v>0.47599999999999998</v>
      </c>
      <c r="G64" s="25">
        <v>0.48599999999999999</v>
      </c>
      <c r="H64" s="25"/>
    </row>
    <row r="65" spans="2:8">
      <c r="B65" s="26" t="s">
        <v>36</v>
      </c>
      <c r="C65" s="22" t="s">
        <v>38</v>
      </c>
      <c r="D65" s="24">
        <v>0.98799999999999999</v>
      </c>
      <c r="E65" s="24">
        <v>0.99199999999999999</v>
      </c>
      <c r="F65" s="24">
        <v>0.99199999999999999</v>
      </c>
      <c r="G65" s="24">
        <v>0.99199999999999999</v>
      </c>
      <c r="H65" s="24">
        <v>0.99199999999999999</v>
      </c>
    </row>
    <row r="66" spans="2:8">
      <c r="B66" s="27"/>
      <c r="C66" s="8" t="s">
        <v>39</v>
      </c>
      <c r="D66" s="25">
        <v>0.218</v>
      </c>
      <c r="E66" s="25">
        <v>0.504</v>
      </c>
      <c r="F66" s="25">
        <v>0.51300000000000001</v>
      </c>
      <c r="G66" s="25">
        <v>0.502</v>
      </c>
      <c r="H66" s="25">
        <v>0.51500000000000001</v>
      </c>
    </row>
    <row r="67" spans="2:8">
      <c r="B67" s="28" t="s">
        <v>37</v>
      </c>
      <c r="C67" s="22" t="s">
        <v>38</v>
      </c>
      <c r="D67" s="24">
        <v>0.17899999999999999</v>
      </c>
      <c r="E67" s="24">
        <v>1.181</v>
      </c>
      <c r="F67" s="24">
        <v>1.181</v>
      </c>
      <c r="G67" s="24">
        <v>1.179</v>
      </c>
      <c r="H67" s="24">
        <v>1.18</v>
      </c>
    </row>
    <row r="68" spans="2:8">
      <c r="B68" s="28"/>
      <c r="C68" s="8" t="s">
        <v>39</v>
      </c>
      <c r="D68" s="25">
        <v>0.36</v>
      </c>
      <c r="E68" s="25">
        <v>0.496</v>
      </c>
      <c r="F68" s="25">
        <v>0.55000000000000004</v>
      </c>
      <c r="G68" s="25">
        <v>0.47899999999999998</v>
      </c>
      <c r="H68" s="25">
        <v>0.56000000000000005</v>
      </c>
    </row>
  </sheetData>
  <mergeCells count="12">
    <mergeCell ref="B18:B20"/>
    <mergeCell ref="B23:B25"/>
    <mergeCell ref="B4:B6"/>
    <mergeCell ref="B9:B11"/>
    <mergeCell ref="B49:B50"/>
    <mergeCell ref="B61:B62"/>
    <mergeCell ref="B63:B64"/>
    <mergeCell ref="B65:B66"/>
    <mergeCell ref="B67:B68"/>
    <mergeCell ref="B51:B52"/>
    <mergeCell ref="B53:B54"/>
    <mergeCell ref="B55:B56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현아 신</dc:creator>
  <cp:lastModifiedBy>Sujin An</cp:lastModifiedBy>
  <dcterms:created xsi:type="dcterms:W3CDTF">2026-10-27T14:00:50Z</dcterms:created>
  <dcterms:modified xsi:type="dcterms:W3CDTF">2026-10-28T05:25:17Z</dcterms:modified>
</cp:coreProperties>
</file>